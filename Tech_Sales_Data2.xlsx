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HomePC\Desktop\"/>
    </mc:Choice>
  </mc:AlternateContent>
  <xr:revisionPtr revIDLastSave="0" documentId="8_{EF1A06E6-380D-4343-AACF-9C0BCC280D5E}" xr6:coauthVersionLast="47" xr6:coauthVersionMax="47" xr10:uidLastSave="{00000000-0000-0000-0000-000000000000}"/>
  <bookViews>
    <workbookView xWindow="-120" yWindow="-120" windowWidth="20730" windowHeight="11040" xr2:uid="{8880B2BC-C0E6-4CD8-8325-F2DFEDF5772F}"/>
  </bookViews>
  <sheets>
    <sheet name="Messy_dataset" sheetId="5" r:id="rId1"/>
    <sheet name="Cleaning_process" sheetId="6" r:id="rId2"/>
    <sheet name="Cleaned_SalesData" sheetId="2" r:id="rId3"/>
    <sheet name="Pivots" sheetId="3" r:id="rId4"/>
    <sheet name="Pivots2" sheetId="4" r:id="rId5"/>
    <sheet name="Dashboard" sheetId="1" r:id="rId6"/>
  </sheets>
  <definedNames>
    <definedName name="ExternalData_1" localSheetId="2" hidden="1">Cleaned_SalesData!$A$1:$K$511</definedName>
    <definedName name="Slicer_Product1">#N/A</definedName>
    <definedName name="Slicer_Region">#N/A</definedName>
    <definedName name="Slicer_Sales_Rep">#N/A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 i="1" l="1"/>
  <c r="G6" i="1"/>
  <c r="D6" i="1"/>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1B33CE-7EEB-4CEB-B606-4E472FE74870}" keepAlive="1" name="Query - Raw Sales Data" description="Connection to the 'Raw Sales Data' query in the workbook." type="5" refreshedVersion="8" background="1" saveData="1">
    <dbPr connection="Provider=Microsoft.Mashup.OleDb.1;Data Source=$Workbook$;Location=&quot;Raw Sales Data&quot;;Extended Properties=&quot;&quot;" command="SELECT * FROM [Raw Sales Data]"/>
  </connection>
</connections>
</file>

<file path=xl/sharedStrings.xml><?xml version="1.0" encoding="utf-8"?>
<sst xmlns="http://schemas.openxmlformats.org/spreadsheetml/2006/main" count="6847" uniqueCount="1378">
  <si>
    <t>Order_ID</t>
  </si>
  <si>
    <t>Date</t>
  </si>
  <si>
    <t>Customer_ID</t>
  </si>
  <si>
    <t>Sales_Rep</t>
  </si>
  <si>
    <t>Region</t>
  </si>
  <si>
    <t>Product</t>
  </si>
  <si>
    <t>Category</t>
  </si>
  <si>
    <t>Quantity</t>
  </si>
  <si>
    <t>Unit_Price</t>
  </si>
  <si>
    <t>Discount_%</t>
  </si>
  <si>
    <t>Revenue</t>
  </si>
  <si>
    <t>ORD-01360</t>
  </si>
  <si>
    <t>CUST-1315</t>
  </si>
  <si>
    <t>Unknown Rep</t>
  </si>
  <si>
    <t>South</t>
  </si>
  <si>
    <t>Webcam</t>
  </si>
  <si>
    <t>Video</t>
  </si>
  <si>
    <t>ORD-01457</t>
  </si>
  <si>
    <t>CUST-1080</t>
  </si>
  <si>
    <t>Carlos Rivera</t>
  </si>
  <si>
    <t>Central</t>
  </si>
  <si>
    <t>Keyboard</t>
  </si>
  <si>
    <t>Peripherals</t>
  </si>
  <si>
    <t>ORD-01328</t>
  </si>
  <si>
    <t>CUST-1088</t>
  </si>
  <si>
    <t>David Chen</t>
  </si>
  <si>
    <t>West</t>
  </si>
  <si>
    <t>Headset</t>
  </si>
  <si>
    <t>Audio</t>
  </si>
  <si>
    <t>ORD-01014</t>
  </si>
  <si>
    <t>CUST-1312</t>
  </si>
  <si>
    <t>Kevin Patel</t>
  </si>
  <si>
    <t>Mouse</t>
  </si>
  <si>
    <t>ORD-01422</t>
  </si>
  <si>
    <t>CUST-1085</t>
  </si>
  <si>
    <t>Aisha Mensah</t>
  </si>
  <si>
    <t>East</t>
  </si>
  <si>
    <t>ORD-01406</t>
  </si>
  <si>
    <t>CUST-1061</t>
  </si>
  <si>
    <t>Emily Johnson</t>
  </si>
  <si>
    <t>ORD-01484</t>
  </si>
  <si>
    <t>UNKNOWN ID</t>
  </si>
  <si>
    <t>Docking Station</t>
  </si>
  <si>
    <t>Computing</t>
  </si>
  <si>
    <t>ORD-01174</t>
  </si>
  <si>
    <t>CUST-1462</t>
  </si>
  <si>
    <t>ORD-01066</t>
  </si>
  <si>
    <t>CUST-1389</t>
  </si>
  <si>
    <t>ORD-01471</t>
  </si>
  <si>
    <t>CUST-1439</t>
  </si>
  <si>
    <t>Linda Nguyen</t>
  </si>
  <si>
    <t>ORD-01496</t>
  </si>
  <si>
    <t>CUST-1213</t>
  </si>
  <si>
    <t>Tom Baker</t>
  </si>
  <si>
    <t>Monitor</t>
  </si>
  <si>
    <t>Display</t>
  </si>
  <si>
    <t>ORD-01421</t>
  </si>
  <si>
    <t>CUST-1132</t>
  </si>
  <si>
    <t>ORD-01446</t>
  </si>
  <si>
    <t>CUST-1039</t>
  </si>
  <si>
    <t>North</t>
  </si>
  <si>
    <t>ORD-01110</t>
  </si>
  <si>
    <t>CUST-1183</t>
  </si>
  <si>
    <t>ORD-01259</t>
  </si>
  <si>
    <t>CUST-1063</t>
  </si>
  <si>
    <t>ORD-01454</t>
  </si>
  <si>
    <t>CUST-1290</t>
  </si>
  <si>
    <t>Sarah Williams</t>
  </si>
  <si>
    <t>ORD-01304</t>
  </si>
  <si>
    <t>CUST-1253</t>
  </si>
  <si>
    <t>ORD-01306</t>
  </si>
  <si>
    <t>CUST-1057</t>
  </si>
  <si>
    <t>ORD-01033</t>
  </si>
  <si>
    <t>CUST-1165</t>
  </si>
  <si>
    <t>ORD-01250</t>
  </si>
  <si>
    <t>CUST-1351</t>
  </si>
  <si>
    <t>Maria Santos</t>
  </si>
  <si>
    <t>ORD-01481</t>
  </si>
  <si>
    <t>CUST-1091</t>
  </si>
  <si>
    <t>Usb Hub</t>
  </si>
  <si>
    <t>ORD-01125</t>
  </si>
  <si>
    <t>CUST-1145</t>
  </si>
  <si>
    <t>Laptop</t>
  </si>
  <si>
    <t>ORD-01411</t>
  </si>
  <si>
    <t>CUST-1005</t>
  </si>
  <si>
    <t>ORD-01297</t>
  </si>
  <si>
    <t>CUST-1330</t>
  </si>
  <si>
    <t>ORD-NEW</t>
  </si>
  <si>
    <t>ORD-01460</t>
  </si>
  <si>
    <t>CUST-1052</t>
  </si>
  <si>
    <t>ORD-01309</t>
  </si>
  <si>
    <t>CUST-1326</t>
  </si>
  <si>
    <t>ORD-01218</t>
  </si>
  <si>
    <t>ORD-01368</t>
  </si>
  <si>
    <t>CUST-1104</t>
  </si>
  <si>
    <t>ORD-01442</t>
  </si>
  <si>
    <t>CUST-1364</t>
  </si>
  <si>
    <t>ORD-01229</t>
  </si>
  <si>
    <t>CUST-1068</t>
  </si>
  <si>
    <t>James Okafor</t>
  </si>
  <si>
    <t>ORD-01455</t>
  </si>
  <si>
    <t>ORD-01090</t>
  </si>
  <si>
    <t>CUST-1479</t>
  </si>
  <si>
    <t>ORD-01069</t>
  </si>
  <si>
    <t>CUST-1201</t>
  </si>
  <si>
    <t>ORD-01271</t>
  </si>
  <si>
    <t>ORD-01119</t>
  </si>
  <si>
    <t>CUST-1422</t>
  </si>
  <si>
    <t>ORD-01351</t>
  </si>
  <si>
    <t>CUST-1392</t>
  </si>
  <si>
    <t>ORD-01194</t>
  </si>
  <si>
    <t>CUST-1067</t>
  </si>
  <si>
    <t>ORD-01322</t>
  </si>
  <si>
    <t>CUST-1429</t>
  </si>
  <si>
    <t>ORD-01238</t>
  </si>
  <si>
    <t>CUST-1332</t>
  </si>
  <si>
    <t>ORD-01091</t>
  </si>
  <si>
    <t>CUST-1449</t>
  </si>
  <si>
    <t>ORD-01353</t>
  </si>
  <si>
    <t>CUST-1216</t>
  </si>
  <si>
    <t>ORD-01139</t>
  </si>
  <si>
    <t>CUST-1023</t>
  </si>
  <si>
    <t>ORD-01102</t>
  </si>
  <si>
    <t>CUST-1375</t>
  </si>
  <si>
    <t>ORD-01464</t>
  </si>
  <si>
    <t>CUST-1370</t>
  </si>
  <si>
    <t>ORD-01345</t>
  </si>
  <si>
    <t>CUST-1203</t>
  </si>
  <si>
    <t>ORD-01327</t>
  </si>
  <si>
    <t>CUST-1349</t>
  </si>
  <si>
    <t>ORD-01362</t>
  </si>
  <si>
    <t>CUST-1142</t>
  </si>
  <si>
    <t>ORD-01156</t>
  </si>
  <si>
    <t>CUST-1352</t>
  </si>
  <si>
    <t>ORD-01370</t>
  </si>
  <si>
    <t>CUST-1413</t>
  </si>
  <si>
    <t>ORD-01299</t>
  </si>
  <si>
    <t>CUST-1401</t>
  </si>
  <si>
    <t>ORD-01274</t>
  </si>
  <si>
    <t>CUST-1283</t>
  </si>
  <si>
    <t>ORD-01413</t>
  </si>
  <si>
    <t>CUST-1254</t>
  </si>
  <si>
    <t>ORD-01295</t>
  </si>
  <si>
    <t>CUST-1200</t>
  </si>
  <si>
    <t>ORD-01290</t>
  </si>
  <si>
    <t>CUST-1265</t>
  </si>
  <si>
    <t>ORD-01361</t>
  </si>
  <si>
    <t>CUST-1078</t>
  </si>
  <si>
    <t>ORD-01116</t>
  </si>
  <si>
    <t>CUST-1111</t>
  </si>
  <si>
    <t>ORD-01469</t>
  </si>
  <si>
    <t>CUST-1001</t>
  </si>
  <si>
    <t>ORD-01052</t>
  </si>
  <si>
    <t>ORD-01409</t>
  </si>
  <si>
    <t>CUST-1070</t>
  </si>
  <si>
    <t>ORD-01499</t>
  </si>
  <si>
    <t>CUST-1163</t>
  </si>
  <si>
    <t>ORD-01311</t>
  </si>
  <si>
    <t>CUST-1036</t>
  </si>
  <si>
    <t>ORD-01061</t>
  </si>
  <si>
    <t>CUST-1074</t>
  </si>
  <si>
    <t>ORD-01265</t>
  </si>
  <si>
    <t>CUST-1219</t>
  </si>
  <si>
    <t>ORD-01165</t>
  </si>
  <si>
    <t>CUST-1448</t>
  </si>
  <si>
    <t>ORD-01459</t>
  </si>
  <si>
    <t>CUST-1395</t>
  </si>
  <si>
    <t>ORD-01424</t>
  </si>
  <si>
    <t>CUST-1064</t>
  </si>
  <si>
    <t>ORD-01133</t>
  </si>
  <si>
    <t>CUST-1403</t>
  </si>
  <si>
    <t>ORD-01325</t>
  </si>
  <si>
    <t>CUST-1187</t>
  </si>
  <si>
    <t>ORD-01214</t>
  </si>
  <si>
    <t>CUST-1045</t>
  </si>
  <si>
    <t>ORD-01083</t>
  </si>
  <si>
    <t>CUST-1393</t>
  </si>
  <si>
    <t>ORD-01444</t>
  </si>
  <si>
    <t>CUST-1295</t>
  </si>
  <si>
    <t>ORD-01434</t>
  </si>
  <si>
    <t>CUST-1015</t>
  </si>
  <si>
    <t>ORD-01240</t>
  </si>
  <si>
    <t>CUST-1225</t>
  </si>
  <si>
    <t>ORD-01169</t>
  </si>
  <si>
    <t>CUST-1184</t>
  </si>
  <si>
    <t>ORD-01302</t>
  </si>
  <si>
    <t>CUST-1488</t>
  </si>
  <si>
    <t>ORD-01031</t>
  </si>
  <si>
    <t>CUST-1275</t>
  </si>
  <si>
    <t>ORD-01023</t>
  </si>
  <si>
    <t>CUST-1105</t>
  </si>
  <si>
    <t>ORD-01343</t>
  </si>
  <si>
    <t>CUST-1485</t>
  </si>
  <si>
    <t>ORD-01032</t>
  </si>
  <si>
    <t>CUST-1086</t>
  </si>
  <si>
    <t>ORD-01228</t>
  </si>
  <si>
    <t>CUST-1447</t>
  </si>
  <si>
    <t>ORD-01053</t>
  </si>
  <si>
    <t>CUST-1141</t>
  </si>
  <si>
    <t>ORD-01485</t>
  </si>
  <si>
    <t>CUST-1018</t>
  </si>
  <si>
    <t>ORD-01268</t>
  </si>
  <si>
    <t>CUST-1071</t>
  </si>
  <si>
    <t>ORD-01246</t>
  </si>
  <si>
    <t>CUST-1077</t>
  </si>
  <si>
    <t>ORD-01239</t>
  </si>
  <si>
    <t>CUST-1084</t>
  </si>
  <si>
    <t>ORD-01057</t>
  </si>
  <si>
    <t>CUST-1359</t>
  </si>
  <si>
    <t>ORD-01477</t>
  </si>
  <si>
    <t>CUST-1186</t>
  </si>
  <si>
    <t>ORD-01003</t>
  </si>
  <si>
    <t>CUST-1397</t>
  </si>
  <si>
    <t>ORD-01059</t>
  </si>
  <si>
    <t>ORD-01371</t>
  </si>
  <si>
    <t>CUST-1079</t>
  </si>
  <si>
    <t>ORD-01260</t>
  </si>
  <si>
    <t>CUST-1301</t>
  </si>
  <si>
    <t>ORD-01264</t>
  </si>
  <si>
    <t>CUST-1493</t>
  </si>
  <si>
    <t>ORD-01307</t>
  </si>
  <si>
    <t>CUST-1123</t>
  </si>
  <si>
    <t>ORD-01075</t>
  </si>
  <si>
    <t>CUST-1321</t>
  </si>
  <si>
    <t>ORD-01476</t>
  </si>
  <si>
    <t>ORD-01404</t>
  </si>
  <si>
    <t>CUST-1379</t>
  </si>
  <si>
    <t>ORD-01418</t>
  </si>
  <si>
    <t>CUST-1400</t>
  </si>
  <si>
    <t>ORD-01205</t>
  </si>
  <si>
    <t>ORD-01081</t>
  </si>
  <si>
    <t>CUST-1406</t>
  </si>
  <si>
    <t>ORD-01233</t>
  </si>
  <si>
    <t>CUST-1035</t>
  </si>
  <si>
    <t>ORD-01027</t>
  </si>
  <si>
    <t>CUST-1179</t>
  </si>
  <si>
    <t>ORD-01452</t>
  </si>
  <si>
    <t>CUST-1255</t>
  </si>
  <si>
    <t>ORD-01203</t>
  </si>
  <si>
    <t>CUST-1175</t>
  </si>
  <si>
    <t>ORD-01121</t>
  </si>
  <si>
    <t>ORD-01074</t>
  </si>
  <si>
    <t>CUST-1137</t>
  </si>
  <si>
    <t>ORD-01461</t>
  </si>
  <si>
    <t>CUST-1457</t>
  </si>
  <si>
    <t>ORD-01160</t>
  </si>
  <si>
    <t>ORD-01257</t>
  </si>
  <si>
    <t>ORD-01051</t>
  </si>
  <si>
    <t>CUST-1470</t>
  </si>
  <si>
    <t>ORD-01381</t>
  </si>
  <si>
    <t>CUST-1329</t>
  </si>
  <si>
    <t>ORD-01296</t>
  </si>
  <si>
    <t>CUST-1151</t>
  </si>
  <si>
    <t>ORD-01015</t>
  </si>
  <si>
    <t>CUST-1323</t>
  </si>
  <si>
    <t>ORD-01331</t>
  </si>
  <si>
    <t>ORD-01221</t>
  </si>
  <si>
    <t>CUST-1451</t>
  </si>
  <si>
    <t>ORD-01115</t>
  </si>
  <si>
    <t>ORD-01146</t>
  </si>
  <si>
    <t>ORD-01004</t>
  </si>
  <si>
    <t>CUST-1415</t>
  </si>
  <si>
    <t>ORD-01386</t>
  </si>
  <si>
    <t>CUST-1373</t>
  </si>
  <si>
    <t>ORD-01060</t>
  </si>
  <si>
    <t>CUST-1127</t>
  </si>
  <si>
    <t>ORD-01278</t>
  </si>
  <si>
    <t>CUST-1311</t>
  </si>
  <si>
    <t>ORD-01166</t>
  </si>
  <si>
    <t>CUST-1140</t>
  </si>
  <si>
    <t>ORD-01275</t>
  </si>
  <si>
    <t>CUST-1307</t>
  </si>
  <si>
    <t>ORD-01099</t>
  </si>
  <si>
    <t>CUST-1444</t>
  </si>
  <si>
    <t>ORD-01439</t>
  </si>
  <si>
    <t>CUST-1268</t>
  </si>
  <si>
    <t>ORD-01041</t>
  </si>
  <si>
    <t>CUST-1263</t>
  </si>
  <si>
    <t>ORD-01391</t>
  </si>
  <si>
    <t>CUST-1125</t>
  </si>
  <si>
    <t>ORD-01042</t>
  </si>
  <si>
    <t>CUST-1460</t>
  </si>
  <si>
    <t>ORD-01301</t>
  </si>
  <si>
    <t>ORD-01207</t>
  </si>
  <si>
    <t>ORD-01237</t>
  </si>
  <si>
    <t>ORD-01080</t>
  </si>
  <si>
    <t>CUST-1324</t>
  </si>
  <si>
    <t>ORD-01029</t>
  </si>
  <si>
    <t>CUST-1143</t>
  </si>
  <si>
    <t>ORD-01430</t>
  </si>
  <si>
    <t>CUST-1453</t>
  </si>
  <si>
    <t>ORD-01359</t>
  </si>
  <si>
    <t>ORD-01247</t>
  </si>
  <si>
    <t>ORD-01284</t>
  </si>
  <si>
    <t>CUST-1434</t>
  </si>
  <si>
    <t>ORD-01058</t>
  </si>
  <si>
    <t>ORD-01400</t>
  </si>
  <si>
    <t>CUST-1158</t>
  </si>
  <si>
    <t>ORD-01063</t>
  </si>
  <si>
    <t>CUST-1164</t>
  </si>
  <si>
    <t>ORD-01383</t>
  </si>
  <si>
    <t>ORD-01112</t>
  </si>
  <si>
    <t>CUST-1032</t>
  </si>
  <si>
    <t>ORD-01085</t>
  </si>
  <si>
    <t>CUST-1206</t>
  </si>
  <si>
    <t>ORD-01364</t>
  </si>
  <si>
    <t>ORD-01465</t>
  </si>
  <si>
    <t>CUST-1059</t>
  </si>
  <si>
    <t>ORD-01147</t>
  </si>
  <si>
    <t>CUST-1475</t>
  </si>
  <si>
    <t>ORD-01189</t>
  </si>
  <si>
    <t>CUST-1048</t>
  </si>
  <si>
    <t>ORD-01130</t>
  </si>
  <si>
    <t>CUST-1289</t>
  </si>
  <si>
    <t>ORD-01213</t>
  </si>
  <si>
    <t>CUST-1196</t>
  </si>
  <si>
    <t>ORD-01097</t>
  </si>
  <si>
    <t>CUST-1297</t>
  </si>
  <si>
    <t>ORD-01379</t>
  </si>
  <si>
    <t>ORD-01323</t>
  </si>
  <si>
    <t>CUST-1291</t>
  </si>
  <si>
    <t>ORD-01474</t>
  </si>
  <si>
    <t>ORD-01142</t>
  </si>
  <si>
    <t>ORD-01458</t>
  </si>
  <si>
    <t>CUST-1130</t>
  </si>
  <si>
    <t>ORD-01222</t>
  </si>
  <si>
    <t>CUST-1153</t>
  </si>
  <si>
    <t>ORD-01217</t>
  </si>
  <si>
    <t>ORD-01163</t>
  </si>
  <si>
    <t>ORD-01494</t>
  </si>
  <si>
    <t>ORD-01441</t>
  </si>
  <si>
    <t>CUST-1134</t>
  </si>
  <si>
    <t>ORD-01241</t>
  </si>
  <si>
    <t>ORD-01342</t>
  </si>
  <si>
    <t>CUST-1030</t>
  </si>
  <si>
    <t>ORD-01082</t>
  </si>
  <si>
    <t>CUST-1450</t>
  </si>
  <si>
    <t>ORD-01492</t>
  </si>
  <si>
    <t>CUST-1214</t>
  </si>
  <si>
    <t>ORD-01317</t>
  </si>
  <si>
    <t>CUST-1478</t>
  </si>
  <si>
    <t>ORD-01188</t>
  </si>
  <si>
    <t>CUST-1360</t>
  </si>
  <si>
    <t>ORD-01468</t>
  </si>
  <si>
    <t>CUST-1260</t>
  </si>
  <si>
    <t>ORD-01269</t>
  </si>
  <si>
    <t>CUST-1126</t>
  </si>
  <si>
    <t>ORD-01180</t>
  </si>
  <si>
    <t>CUST-1156</t>
  </si>
  <si>
    <t>ORD-01294</t>
  </si>
  <si>
    <t>CUST-1382</t>
  </si>
  <si>
    <t>ORD-01054</t>
  </si>
  <si>
    <t>CUST-1443</t>
  </si>
  <si>
    <t>ORD-01279</t>
  </si>
  <si>
    <t>ORD-01140</t>
  </si>
  <si>
    <t>CUST-1050</t>
  </si>
  <si>
    <t>ORD-01397</t>
  </si>
  <si>
    <t>CUST-1313</t>
  </si>
  <si>
    <t>ORD-01281</t>
  </si>
  <si>
    <t>CUST-1481</t>
  </si>
  <si>
    <t>ORD-01067</t>
  </si>
  <si>
    <t>CUST-1431</t>
  </si>
  <si>
    <t>ORD-01414</t>
  </si>
  <si>
    <t>CUST-1487</t>
  </si>
  <si>
    <t>ORD-01262</t>
  </si>
  <si>
    <t>ORD-01315</t>
  </si>
  <si>
    <t>CUST-1006</t>
  </si>
  <si>
    <t>ORD-01223</t>
  </si>
  <si>
    <t>ORD-01100</t>
  </si>
  <si>
    <t>CUST-1396</t>
  </si>
  <si>
    <t>ORD-01479</t>
  </si>
  <si>
    <t>CUST-1471</t>
  </si>
  <si>
    <t>ORD-01149</t>
  </si>
  <si>
    <t>ORD-01016</t>
  </si>
  <si>
    <t>ORD-01164</t>
  </si>
  <si>
    <t>ORD-01419</t>
  </si>
  <si>
    <t>CUST-1421</t>
  </si>
  <si>
    <t>ORD-01047</t>
  </si>
  <si>
    <t>CUST-1492</t>
  </si>
  <si>
    <t>ORD-01087</t>
  </si>
  <si>
    <t>CUST-1383</t>
  </si>
  <si>
    <t>ORD-01038</t>
  </si>
  <si>
    <t>CUST-1136</t>
  </si>
  <si>
    <t>ORD-01417</t>
  </si>
  <si>
    <t>CUST-1264</t>
  </si>
  <si>
    <t>ORD-01366</t>
  </si>
  <si>
    <t>CUST-1261</t>
  </si>
  <si>
    <t>ORD-01387</t>
  </si>
  <si>
    <t>ORD-01201</t>
  </si>
  <si>
    <t>CUST-1004</t>
  </si>
  <si>
    <t>ORD-01173</t>
  </si>
  <si>
    <t>CUST-1340</t>
  </si>
  <si>
    <t>ORD-01398</t>
  </si>
  <si>
    <t>ORD-01105</t>
  </si>
  <si>
    <t>CUST-1497</t>
  </si>
  <si>
    <t>ORD-01365</t>
  </si>
  <si>
    <t>CUST-1040</t>
  </si>
  <si>
    <t>ORD-01244</t>
  </si>
  <si>
    <t>ORD-01017</t>
  </si>
  <si>
    <t>ORD-01339</t>
  </si>
  <si>
    <t>CUST-1110</t>
  </si>
  <si>
    <t>ORD-01092</t>
  </si>
  <si>
    <t>CUST-1188</t>
  </si>
  <si>
    <t>ORD-01089</t>
  </si>
  <si>
    <t>CUST-1355</t>
  </si>
  <si>
    <t>CUST-1033</t>
  </si>
  <si>
    <t>ORD-01141</t>
  </si>
  <si>
    <t>CUST-1320</t>
  </si>
  <si>
    <t>ORD-01195</t>
  </si>
  <si>
    <t>CUST-1303</t>
  </si>
  <si>
    <t>ORD-01206</t>
  </si>
  <si>
    <t>CUST-1440</t>
  </si>
  <si>
    <t>ORD-01103</t>
  </si>
  <si>
    <t>CUST-1047</t>
  </si>
  <si>
    <t>ORD-01347</t>
  </si>
  <si>
    <t>CUST-1146</t>
  </si>
  <si>
    <t>ORD-01175</t>
  </si>
  <si>
    <t>ORD-01171</t>
  </si>
  <si>
    <t>CUST-1042</t>
  </si>
  <si>
    <t>ORD-01249</t>
  </si>
  <si>
    <t>ORD-01158</t>
  </si>
  <si>
    <t>ORD-01071</t>
  </si>
  <si>
    <t>CUST-1072</t>
  </si>
  <si>
    <t>ORD-01134</t>
  </si>
  <si>
    <t>ORD-01369</t>
  </si>
  <si>
    <t>CUST-1498</t>
  </si>
  <si>
    <t>ORD-01378</t>
  </si>
  <si>
    <t>CUST-1427</t>
  </si>
  <si>
    <t>ORD-01431</t>
  </si>
  <si>
    <t>CUST-1060</t>
  </si>
  <si>
    <t>ORD-01245</t>
  </si>
  <si>
    <t>ORD-01243</t>
  </si>
  <si>
    <t>CUST-1109</t>
  </si>
  <si>
    <t>ORD-01335</t>
  </si>
  <si>
    <t>ORD-01272</t>
  </si>
  <si>
    <t>CUST-1043</t>
  </si>
  <si>
    <t>ORD-01348</t>
  </si>
  <si>
    <t>ORD-01358</t>
  </si>
  <si>
    <t>ORD-01019</t>
  </si>
  <si>
    <t>ORD-01178</t>
  </si>
  <si>
    <t>CUST-1202</t>
  </si>
  <si>
    <t>ORD-01389</t>
  </si>
  <si>
    <t>CUST-1122</t>
  </si>
  <si>
    <t>ORD-01021</t>
  </si>
  <si>
    <t>ORD-01056</t>
  </si>
  <si>
    <t>ORD-01423</t>
  </si>
  <si>
    <t>CUST-1190</t>
  </si>
  <si>
    <t>ORD-01427</t>
  </si>
  <si>
    <t>ORD-01363</t>
  </si>
  <si>
    <t>ORD-01035</t>
  </si>
  <si>
    <t>CUST-1149</t>
  </si>
  <si>
    <t>ORD-01182</t>
  </si>
  <si>
    <t>CUST-1358</t>
  </si>
  <si>
    <t>ORD-01185</t>
  </si>
  <si>
    <t>ORD-01151</t>
  </si>
  <si>
    <t>CUST-1233</t>
  </si>
  <si>
    <t>ORD-01208</t>
  </si>
  <si>
    <t>ORD-01303</t>
  </si>
  <si>
    <t>ORD-01254</t>
  </si>
  <si>
    <t>CUST-1044</t>
  </si>
  <si>
    <t>ORD-01372</t>
  </si>
  <si>
    <t>CUST-1274</t>
  </si>
  <si>
    <t>ORD-01456</t>
  </si>
  <si>
    <t>ORD-01098</t>
  </si>
  <si>
    <t>ORD-01236</t>
  </si>
  <si>
    <t>ORD-01500</t>
  </si>
  <si>
    <t>CUST-1138</t>
  </si>
  <si>
    <t>ORD-01436</t>
  </si>
  <si>
    <t>ORD-01155</t>
  </si>
  <si>
    <t>CUST-1103</t>
  </si>
  <si>
    <t>ORD-01123</t>
  </si>
  <si>
    <t>ORD-01114</t>
  </si>
  <si>
    <t>CUST-1273</t>
  </si>
  <si>
    <t>ORD-01282</t>
  </si>
  <si>
    <t>CUST-1353</t>
  </si>
  <si>
    <t>ORD-01334</t>
  </si>
  <si>
    <t>CUST-1008</t>
  </si>
  <si>
    <t>ORD-01172</t>
  </si>
  <si>
    <t>ORD-01109</t>
  </si>
  <si>
    <t>CUST-1357</t>
  </si>
  <si>
    <t>ORD-01079</t>
  </si>
  <si>
    <t>CUST-1038</t>
  </si>
  <si>
    <t>ORD-01095</t>
  </si>
  <si>
    <t>CUST-1249</t>
  </si>
  <si>
    <t>ORD-01062</t>
  </si>
  <si>
    <t>ORD-01293</t>
  </si>
  <si>
    <t>CUST-1096</t>
  </si>
  <si>
    <t>ORD-01470</t>
  </si>
  <si>
    <t>CUST-1022</t>
  </si>
  <si>
    <t>ORD-01126</t>
  </si>
  <si>
    <t>CUST-1172</t>
  </si>
  <si>
    <t>ORD-01314</t>
  </si>
  <si>
    <t>CUST-1500</t>
  </si>
  <si>
    <t>ORD-01483</t>
  </si>
  <si>
    <t>CUST-1491</t>
  </si>
  <si>
    <t>ORD-01490</t>
  </si>
  <si>
    <t>ORD-01425</t>
  </si>
  <si>
    <t>ORD-01426</t>
  </si>
  <si>
    <t>CUST-1399</t>
  </si>
  <si>
    <t>ORD-01428</t>
  </si>
  <si>
    <t>ORD-01025</t>
  </si>
  <si>
    <t>ORD-01402</t>
  </si>
  <si>
    <t>ORD-01352</t>
  </si>
  <si>
    <t>CUST-1212</t>
  </si>
  <si>
    <t>ORD-01127</t>
  </si>
  <si>
    <t>CUST-1280</t>
  </si>
  <si>
    <t>ORD-01410</t>
  </si>
  <si>
    <t>ORD-01285</t>
  </si>
  <si>
    <t>CUST-1433</t>
  </si>
  <si>
    <t>ORD-01179</t>
  </si>
  <si>
    <t>ORD-01472</t>
  </si>
  <si>
    <t>CUST-1441</t>
  </si>
  <si>
    <t>ORD-01376</t>
  </si>
  <si>
    <t>ORD-01224</t>
  </si>
  <si>
    <t>CUST-1195</t>
  </si>
  <si>
    <t>ORD-01354</t>
  </si>
  <si>
    <t>ORD-01094</t>
  </si>
  <si>
    <t>CUST-1486</t>
  </si>
  <si>
    <t>ORD-01070</t>
  </si>
  <si>
    <t>CUST-1250</t>
  </si>
  <si>
    <t>ORD-01037</t>
  </si>
  <si>
    <t>CUST-1293</t>
  </si>
  <si>
    <t>ORD-01161</t>
  </si>
  <si>
    <t>CUST-1154</t>
  </si>
  <si>
    <t>ORD-01012</t>
  </si>
  <si>
    <t>ORD-01145</t>
  </si>
  <si>
    <t>ORD-01356</t>
  </si>
  <si>
    <t>ORD-01128</t>
  </si>
  <si>
    <t>ORD-01338</t>
  </si>
  <si>
    <t>ORD-01010</t>
  </si>
  <si>
    <t>ORD-01377</t>
  </si>
  <si>
    <t>CUST-1390</t>
  </si>
  <si>
    <t>ORD-01177</t>
  </si>
  <si>
    <t>CUST-1026</t>
  </si>
  <si>
    <t>ORD-01232</t>
  </si>
  <si>
    <t>CUST-1073</t>
  </si>
  <si>
    <t>ORD-01211</t>
  </si>
  <si>
    <t>ORD-01129</t>
  </si>
  <si>
    <t>CUST-1066</t>
  </si>
  <si>
    <t>ORD-01144</t>
  </si>
  <si>
    <t>CUST-1235</t>
  </si>
  <si>
    <t>ORD-01242</t>
  </si>
  <si>
    <t>CUST-1369</t>
  </si>
  <si>
    <t>ORD-01008</t>
  </si>
  <si>
    <t>CUST-1377</t>
  </si>
  <si>
    <t>ORD-01255</t>
  </si>
  <si>
    <t>CUST-1459</t>
  </si>
  <si>
    <t>ORD-01373</t>
  </si>
  <si>
    <t>CUST-1167</t>
  </si>
  <si>
    <t>ORD-01337</t>
  </si>
  <si>
    <t>CUST-1007</t>
  </si>
  <si>
    <t>ORD-01009</t>
  </si>
  <si>
    <t>ORD-01157</t>
  </si>
  <si>
    <t>CUST-1465</t>
  </si>
  <si>
    <t>ORD-01028</t>
  </si>
  <si>
    <t>CUST-1272</t>
  </si>
  <si>
    <t>ORD-01267</t>
  </si>
  <si>
    <t>CUST-1405</t>
  </si>
  <si>
    <t>ORD-01065</t>
  </si>
  <si>
    <t>ORD-01256</t>
  </si>
  <si>
    <t>CUST-1051</t>
  </si>
  <si>
    <t>ORD-01320</t>
  </si>
  <si>
    <t>CUST-1198</t>
  </si>
  <si>
    <t>ORD-01154</t>
  </si>
  <si>
    <t>ORD-01049</t>
  </si>
  <si>
    <t>CUST-1402</t>
  </si>
  <si>
    <t>ORD-01209</t>
  </si>
  <si>
    <t>ORD-01288</t>
  </si>
  <si>
    <t>ORD-01002</t>
  </si>
  <si>
    <t>ORD-01270</t>
  </si>
  <si>
    <t>ORD-01266</t>
  </si>
  <si>
    <t>CUST-1161</t>
  </si>
  <si>
    <t>ORD-01329</t>
  </si>
  <si>
    <t>ORD-01355</t>
  </si>
  <si>
    <t>CUST-1205</t>
  </si>
  <si>
    <t>ORD-01096</t>
  </si>
  <si>
    <t>ORD-01467</t>
  </si>
  <si>
    <t>ORD-01495</t>
  </si>
  <si>
    <t>ORD-01319</t>
  </si>
  <si>
    <t>ORD-01117</t>
  </si>
  <si>
    <t>CUST-1495</t>
  </si>
  <si>
    <t>ORD-01046</t>
  </si>
  <si>
    <t>CUST-1069</t>
  </si>
  <si>
    <t>ORD-01162</t>
  </si>
  <si>
    <t>CUST-1081</t>
  </si>
  <si>
    <t>ORD-01388</t>
  </si>
  <si>
    <t>ORD-01118</t>
  </si>
  <si>
    <t>ORD-01289</t>
  </si>
  <si>
    <t>ORD-01078</t>
  </si>
  <si>
    <t>CUST-1231</t>
  </si>
  <si>
    <t>ORD-01395</t>
  </si>
  <si>
    <t>ORD-01064</t>
  </si>
  <si>
    <t>CUST-1424</t>
  </si>
  <si>
    <t>ORD-01396</t>
  </si>
  <si>
    <t>CUST-1232</t>
  </si>
  <si>
    <t>ORD-01440</t>
  </si>
  <si>
    <t>ORD-01231</t>
  </si>
  <si>
    <t>CUST-1346</t>
  </si>
  <si>
    <t>ORD-01298</t>
  </si>
  <si>
    <t>CUST-1027</t>
  </si>
  <si>
    <t>ORD-01187</t>
  </si>
  <si>
    <t>CUST-1046</t>
  </si>
  <si>
    <t>ORD-01341</t>
  </si>
  <si>
    <t>ORD-01200</t>
  </si>
  <si>
    <t>ORD-01497</t>
  </si>
  <si>
    <t>CUST-1468</t>
  </si>
  <si>
    <t>ORD-01122</t>
  </si>
  <si>
    <t>ORD-01473</t>
  </si>
  <si>
    <t>ORD-01437</t>
  </si>
  <si>
    <t>ORD-01308</t>
  </si>
  <si>
    <t>ORD-01466</t>
  </si>
  <si>
    <t>CUST-1116</t>
  </si>
  <si>
    <t>ORD-01159</t>
  </si>
  <si>
    <t>ORD-01086</t>
  </si>
  <si>
    <t>ORD-01226</t>
  </si>
  <si>
    <t>CUST-1416</t>
  </si>
  <si>
    <t>ORD-01263</t>
  </si>
  <si>
    <t>ORD-01332</t>
  </si>
  <si>
    <t>CUST-1394</t>
  </si>
  <si>
    <t>ORD-01405</t>
  </si>
  <si>
    <t>CUST-1089</t>
  </si>
  <si>
    <t>ORD-01077</t>
  </si>
  <si>
    <t>CUST-1192</t>
  </si>
  <si>
    <t>ORD-01493</t>
  </si>
  <si>
    <t>CUST-1114</t>
  </si>
  <si>
    <t>ORD-01088</t>
  </si>
  <si>
    <t>ORD-01451</t>
  </si>
  <si>
    <t>CUST-1028</t>
  </si>
  <si>
    <t>ORD-01183</t>
  </si>
  <si>
    <t>CUST-1386</t>
  </si>
  <si>
    <t>ORD-01106</t>
  </si>
  <si>
    <t>CUST-1234</t>
  </si>
  <si>
    <t>ORD-01415</t>
  </si>
  <si>
    <t>CUST-1177</t>
  </si>
  <si>
    <t>ORD-01050</t>
  </si>
  <si>
    <t>CUST-1210</t>
  </si>
  <si>
    <t>ORD-01385</t>
  </si>
  <si>
    <t>CUST-1223</t>
  </si>
  <si>
    <t>ORD-01006</t>
  </si>
  <si>
    <t>ORD-01018</t>
  </si>
  <si>
    <t>ORD-01235</t>
  </si>
  <si>
    <t>CUST-1288</t>
  </si>
  <si>
    <t>ORD-01407</t>
  </si>
  <si>
    <t>ORD-01453</t>
  </si>
  <si>
    <t>ORD-01107</t>
  </si>
  <si>
    <t>CUST-1325</t>
  </si>
  <si>
    <t>ORD-01135</t>
  </si>
  <si>
    <t>ORD-01227</t>
  </si>
  <si>
    <t>CUST-1385</t>
  </si>
  <si>
    <t>ORD-01215</t>
  </si>
  <si>
    <t>CUST-1374</t>
  </si>
  <si>
    <t>ORD-01191</t>
  </si>
  <si>
    <t>ORD-01447</t>
  </si>
  <si>
    <t>ORD-01321</t>
  </si>
  <si>
    <t>ORD-01283</t>
  </si>
  <si>
    <t>CUST-1013</t>
  </si>
  <si>
    <t>ORD-01030</t>
  </si>
  <si>
    <t>CUST-1305</t>
  </si>
  <si>
    <t>ORD-01170</t>
  </si>
  <si>
    <t>CUST-1128</t>
  </si>
  <si>
    <t>ORD-01181</t>
  </si>
  <si>
    <t>CUST-1371</t>
  </si>
  <si>
    <t>ORD-01101</t>
  </si>
  <si>
    <t>ORD-01198</t>
  </si>
  <si>
    <t>CUST-1348</t>
  </si>
  <si>
    <t>ORD-01210</t>
  </si>
  <si>
    <t>CUST-1244</t>
  </si>
  <si>
    <t>ORD-01136</t>
  </si>
  <si>
    <t>ORD-01478</t>
  </si>
  <si>
    <t>ORD-01435</t>
  </si>
  <si>
    <t>CUST-1171</t>
  </si>
  <si>
    <t>ORD-01199</t>
  </si>
  <si>
    <t>CUST-1227</t>
  </si>
  <si>
    <t>ORD-01374</t>
  </si>
  <si>
    <t>ORD-01167</t>
  </si>
  <si>
    <t>ORD-01390</t>
  </si>
  <si>
    <t>CUST-1029</t>
  </si>
  <si>
    <t>ORD-01137</t>
  </si>
  <si>
    <t>ORD-01286</t>
  </si>
  <si>
    <t>CUST-1337</t>
  </si>
  <si>
    <t>ORD-01336</t>
  </si>
  <si>
    <t>CUST-1034</t>
  </si>
  <si>
    <t>ORD-01132</t>
  </si>
  <si>
    <t>CUST-1248</t>
  </si>
  <si>
    <t>ORD-01040</t>
  </si>
  <si>
    <t>ORD-01216</t>
  </si>
  <si>
    <t>CUST-1412</t>
  </si>
  <si>
    <t>ORD-01044</t>
  </si>
  <si>
    <t>CUST-1417</t>
  </si>
  <si>
    <t>ORD-01055</t>
  </si>
  <si>
    <t>CUST-1335</t>
  </si>
  <si>
    <t>ORD-01482</t>
  </si>
  <si>
    <t>CUST-1476</t>
  </si>
  <si>
    <t>ORD-01300</t>
  </si>
  <si>
    <t>ORD-01462</t>
  </si>
  <si>
    <t>ORD-01305</t>
  </si>
  <si>
    <t>CUST-1197</t>
  </si>
  <si>
    <t>ORD-01036</t>
  </si>
  <si>
    <t>CUST-1148</t>
  </si>
  <si>
    <t>ORD-01316</t>
  </si>
  <si>
    <t>ORD-01310</t>
  </si>
  <si>
    <t>CUST-1304</t>
  </si>
  <si>
    <t>ORD-01277</t>
  </si>
  <si>
    <t>ORD-01143</t>
  </si>
  <si>
    <t>CUST-1428</t>
  </si>
  <si>
    <t>ORD-01111</t>
  </si>
  <si>
    <t>CUST-1435</t>
  </si>
  <si>
    <t>ORD-01324</t>
  </si>
  <si>
    <t>CUST-1215</t>
  </si>
  <si>
    <t>ORD-01333</t>
  </si>
  <si>
    <t>CUST-1037</t>
  </si>
  <si>
    <t>ORD-01394</t>
  </si>
  <si>
    <t>CUST-1222</t>
  </si>
  <si>
    <t>ORD-01443</t>
  </si>
  <si>
    <t>CUST-1499</t>
  </si>
  <si>
    <t>ORD-01108</t>
  </si>
  <si>
    <t>ORD-01450</t>
  </si>
  <si>
    <t>ORD-01013</t>
  </si>
  <si>
    <t>CUST-1363</t>
  </si>
  <si>
    <t>ORD-01273</t>
  </si>
  <si>
    <t>ORD-01048</t>
  </si>
  <si>
    <t>CUST-1384</t>
  </si>
  <si>
    <t>ORD-01204</t>
  </si>
  <si>
    <t>ORD-01432</t>
  </si>
  <si>
    <t>ORD-01120</t>
  </si>
  <si>
    <t>CUST-1108</t>
  </si>
  <si>
    <t>ORD-01022</t>
  </si>
  <si>
    <t>ORD-01403</t>
  </si>
  <si>
    <t>CUST-1336</t>
  </si>
  <si>
    <t>ORD-01084</t>
  </si>
  <si>
    <t>ORD-01131</t>
  </si>
  <si>
    <t>CUST-1436</t>
  </si>
  <si>
    <t>ORD-01488</t>
  </si>
  <si>
    <t>CUST-1467</t>
  </si>
  <si>
    <t>ORD-01330</t>
  </si>
  <si>
    <t>CUST-1241</t>
  </si>
  <si>
    <t>ORD-01230</t>
  </si>
  <si>
    <t>CUST-1328</t>
  </si>
  <si>
    <t>ORD-01287</t>
  </si>
  <si>
    <t>ORD-01124</t>
  </si>
  <si>
    <t>ORD-01034</t>
  </si>
  <si>
    <t>CUST-1076</t>
  </si>
  <si>
    <t>ORD-01005</t>
  </si>
  <si>
    <t>CUST-1121</t>
  </si>
  <si>
    <t>ORD-01412</t>
  </si>
  <si>
    <t>CUST-1083</t>
  </si>
  <si>
    <t>ORD-01020</t>
  </si>
  <si>
    <t>ORD-01220</t>
  </si>
  <si>
    <t>ORD-01380</t>
  </si>
  <si>
    <t>ORD-01420</t>
  </si>
  <si>
    <t>ORD-01357</t>
  </si>
  <si>
    <t>ORD-01150</t>
  </si>
  <si>
    <t>ORD-01248</t>
  </si>
  <si>
    <t>ORD-01448</t>
  </si>
  <si>
    <t>ORD-01152</t>
  </si>
  <si>
    <t>CUST-1000</t>
  </si>
  <si>
    <t>ORD-01491</t>
  </si>
  <si>
    <t>ORD-01318</t>
  </si>
  <si>
    <t>CUST-1162</t>
  </si>
  <si>
    <t>ORD-01292</t>
  </si>
  <si>
    <t>ORD-01234</t>
  </si>
  <si>
    <t>CUST-1271</t>
  </si>
  <si>
    <t>ORD-01011</t>
  </si>
  <si>
    <t>ORD-01280</t>
  </si>
  <si>
    <t>CUST-1398</t>
  </si>
  <si>
    <t>ORD-01072</t>
  </si>
  <si>
    <t>ORD-01253</t>
  </si>
  <si>
    <t>ORD-01093</t>
  </si>
  <si>
    <t>ORD-01486</t>
  </si>
  <si>
    <t>ORD-01350</t>
  </si>
  <si>
    <t>CUST-1256</t>
  </si>
  <si>
    <t>ORD-01416</t>
  </si>
  <si>
    <t>CUST-1267</t>
  </si>
  <si>
    <t>ORD-01375</t>
  </si>
  <si>
    <t>CUST-1300</t>
  </si>
  <si>
    <t>ORD-01401</t>
  </si>
  <si>
    <t>CUST-1341</t>
  </si>
  <si>
    <t>ORD-01193</t>
  </si>
  <si>
    <t>ORD-01258</t>
  </si>
  <si>
    <t>ORD-01489</t>
  </si>
  <si>
    <t>CUST-1365</t>
  </si>
  <si>
    <t>ORD-01340</t>
  </si>
  <si>
    <t>CUST-1020</t>
  </si>
  <si>
    <t>ORD-01498</t>
  </si>
  <si>
    <t>CUST-1368</t>
  </si>
  <si>
    <t>ORD-01196</t>
  </si>
  <si>
    <t>CUST-1115</t>
  </si>
  <si>
    <t>ORD-01344</t>
  </si>
  <si>
    <t>CUST-1404</t>
  </si>
  <si>
    <t>ORD-01138</t>
  </si>
  <si>
    <t>CUST-1024</t>
  </si>
  <si>
    <t>ORD-01261</t>
  </si>
  <si>
    <t>ORD-01039</t>
  </si>
  <si>
    <t>ORD-01463</t>
  </si>
  <si>
    <t>CUST-1345</t>
  </si>
  <si>
    <t>ORD-01202</t>
  </si>
  <si>
    <t>CUST-1356</t>
  </si>
  <si>
    <t>ORD-01475</t>
  </si>
  <si>
    <t>ORD-01291</t>
  </si>
  <si>
    <t>CUST-1310</t>
  </si>
  <si>
    <t>ORD-01449</t>
  </si>
  <si>
    <t>ORD-01190</t>
  </si>
  <si>
    <t>ORD-01252</t>
  </si>
  <si>
    <t>ORD-01113</t>
  </si>
  <si>
    <t>CUST-1407</t>
  </si>
  <si>
    <t>ORD-01438</t>
  </si>
  <si>
    <t>CUST-1139</t>
  </si>
  <si>
    <t>ORD-01184</t>
  </si>
  <si>
    <t>CUST-1119</t>
  </si>
  <si>
    <t>ORD-01153</t>
  </si>
  <si>
    <t>CUST-1490</t>
  </si>
  <si>
    <t>ORD-01313</t>
  </si>
  <si>
    <t>CUST-1455</t>
  </si>
  <si>
    <t>ORD-01326</t>
  </si>
  <si>
    <t>CUST-1279</t>
  </si>
  <si>
    <t>ORD-01192</t>
  </si>
  <si>
    <t>ORD-01045</t>
  </si>
  <si>
    <t>ORD-01445</t>
  </si>
  <si>
    <t>ORD-01276</t>
  </si>
  <si>
    <t>ORD-01007</t>
  </si>
  <si>
    <t>ORD-01251</t>
  </si>
  <si>
    <t>CUST-1226</t>
  </si>
  <si>
    <t>ORD-01312</t>
  </si>
  <si>
    <t>CUST-1270</t>
  </si>
  <si>
    <t>ORD-01076</t>
  </si>
  <si>
    <t>ORD-01001</t>
  </si>
  <si>
    <t>ORD-01429</t>
  </si>
  <si>
    <t>ORD-01392</t>
  </si>
  <si>
    <t>ORD-01384</t>
  </si>
  <si>
    <t>ORD-01433</t>
  </si>
  <si>
    <t>ORD-01487</t>
  </si>
  <si>
    <t>CUST-1411</t>
  </si>
  <si>
    <t>ORD-01168</t>
  </si>
  <si>
    <t>ORD-01393</t>
  </si>
  <si>
    <t>CUST-1473</t>
  </si>
  <si>
    <t>ORD-01219</t>
  </si>
  <si>
    <t>CUST-1160</t>
  </si>
  <si>
    <t>ORD-01043</t>
  </si>
  <si>
    <t>CUST-1347</t>
  </si>
  <si>
    <t>ORD-01367</t>
  </si>
  <si>
    <t>ORD-01346</t>
  </si>
  <si>
    <t>CUST-1259</t>
  </si>
  <si>
    <t>ORD-01073</t>
  </si>
  <si>
    <t>ORD-01024</t>
  </si>
  <si>
    <t>ORD-01399</t>
  </si>
  <si>
    <t>ORD-01186</t>
  </si>
  <si>
    <t>ORD-01349</t>
  </si>
  <si>
    <t>ORD-01104</t>
  </si>
  <si>
    <t>ORD-01408</t>
  </si>
  <si>
    <t>CUST-1362</t>
  </si>
  <si>
    <t>ORD-01212</t>
  </si>
  <si>
    <t>CUST-1117</t>
  </si>
  <si>
    <t>ORD-01068</t>
  </si>
  <si>
    <t>ORD-01026</t>
  </si>
  <si>
    <t>ORD-01197</t>
  </si>
  <si>
    <t>ORD-01176</t>
  </si>
  <si>
    <t>Grand Total</t>
  </si>
  <si>
    <t>Products</t>
  </si>
  <si>
    <t>Regions</t>
  </si>
  <si>
    <t>Jan</t>
  </si>
  <si>
    <t>Feb</t>
  </si>
  <si>
    <t>Mar</t>
  </si>
  <si>
    <t>Apr</t>
  </si>
  <si>
    <t>May</t>
  </si>
  <si>
    <t>Jun</t>
  </si>
  <si>
    <t>Jul</t>
  </si>
  <si>
    <t>Aug</t>
  </si>
  <si>
    <t>Sep</t>
  </si>
  <si>
    <t>Oct</t>
  </si>
  <si>
    <t>Nov</t>
  </si>
  <si>
    <t>Dec</t>
  </si>
  <si>
    <t>Discount_Band</t>
  </si>
  <si>
    <t>Which Product earns most?</t>
  </si>
  <si>
    <t>Which Region earns most?</t>
  </si>
  <si>
    <t xml:space="preserve">High </t>
  </si>
  <si>
    <t xml:space="preserve">Low </t>
  </si>
  <si>
    <t xml:space="preserve">Medium </t>
  </si>
  <si>
    <t xml:space="preserve">No_Discount </t>
  </si>
  <si>
    <t>Avg Revenue</t>
  </si>
  <si>
    <t>How Discount affects revenue</t>
  </si>
  <si>
    <t xml:space="preserve">Months </t>
  </si>
  <si>
    <t>Top Sales_Rep</t>
  </si>
  <si>
    <t>Count of Order_ID</t>
  </si>
  <si>
    <t>Discount_band</t>
  </si>
  <si>
    <t>Total Revenue</t>
  </si>
  <si>
    <t>Column Labels</t>
  </si>
  <si>
    <t>Avg Discount</t>
  </si>
  <si>
    <t>Total  Revenue</t>
  </si>
  <si>
    <t>2023-12-03</t>
  </si>
  <si>
    <t>S outh</t>
  </si>
  <si>
    <t>webcam</t>
  </si>
  <si>
    <t>2023-09-09</t>
  </si>
  <si>
    <t>central</t>
  </si>
  <si>
    <t>keyboard</t>
  </si>
  <si>
    <t>2023-09-01</t>
  </si>
  <si>
    <t>WEST</t>
  </si>
  <si>
    <t>headset</t>
  </si>
  <si>
    <t>05-17-2023</t>
  </si>
  <si>
    <t>mouse</t>
  </si>
  <si>
    <t>5%</t>
  </si>
  <si>
    <t>2023-08-03</t>
  </si>
  <si>
    <t>east</t>
  </si>
  <si>
    <t>2023-11-11</t>
  </si>
  <si>
    <t>HEADSET</t>
  </si>
  <si>
    <t>2023-07-07</t>
  </si>
  <si>
    <t xml:space="preserve">West </t>
  </si>
  <si>
    <t>DOCKING STATION</t>
  </si>
  <si>
    <t>03-16-2023</t>
  </si>
  <si>
    <t>2023-01-09</t>
  </si>
  <si>
    <t>2023-10-03</t>
  </si>
  <si>
    <t>2023-08-19</t>
  </si>
  <si>
    <t>monitor</t>
  </si>
  <si>
    <t>07-18-2023</t>
  </si>
  <si>
    <t>EAST</t>
  </si>
  <si>
    <t>January 05, 2023</t>
  </si>
  <si>
    <t xml:space="preserve">North </t>
  </si>
  <si>
    <t>December 15, 2023</t>
  </si>
  <si>
    <t>$296.79</t>
  </si>
  <si>
    <t>15%</t>
  </si>
  <si>
    <t>03/09/2023</t>
  </si>
  <si>
    <t>2023-09-11</t>
  </si>
  <si>
    <t>July 20, 2023</t>
  </si>
  <si>
    <t>14/12/2023</t>
  </si>
  <si>
    <t>2023-07-13</t>
  </si>
  <si>
    <t>04/05/2023</t>
  </si>
  <si>
    <t>SOUTH</t>
  </si>
  <si>
    <t>2023-02-28</t>
  </si>
  <si>
    <t>USB HUB</t>
  </si>
  <si>
    <t>2023-03-20</t>
  </si>
  <si>
    <t>LAPTOP</t>
  </si>
  <si>
    <t>2023-06-10</t>
  </si>
  <si>
    <t>Lap top</t>
  </si>
  <si>
    <t>2023-10-13</t>
  </si>
  <si>
    <t>2023-02-15</t>
  </si>
  <si>
    <t>USB Hub</t>
  </si>
  <si>
    <t>August 16, 2023</t>
  </si>
  <si>
    <t>14/09/2023</t>
  </si>
  <si>
    <t>22/12/2023</t>
  </si>
  <si>
    <t>08-08-2023</t>
  </si>
  <si>
    <t>laptop</t>
  </si>
  <si>
    <t>west</t>
  </si>
  <si>
    <t>2023-10-16</t>
  </si>
  <si>
    <t>south</t>
  </si>
  <si>
    <t>29/07/2023</t>
  </si>
  <si>
    <t>CENTRAL</t>
  </si>
  <si>
    <t>MONITOR</t>
  </si>
  <si>
    <t>August 12, 2023</t>
  </si>
  <si>
    <t>MOUSE</t>
  </si>
  <si>
    <t>2023-03-15</t>
  </si>
  <si>
    <t>November 01, 2023</t>
  </si>
  <si>
    <t>2023-02-12</t>
  </si>
  <si>
    <t>0%</t>
  </si>
  <si>
    <t>October 14, 2023</t>
  </si>
  <si>
    <t>2023-06-05</t>
  </si>
  <si>
    <t>June 25, 2023</t>
  </si>
  <si>
    <t>2023-12-29</t>
  </si>
  <si>
    <t xml:space="preserve"> East </t>
  </si>
  <si>
    <t>2023-04-29</t>
  </si>
  <si>
    <t>August 25, 2023</t>
  </si>
  <si>
    <t>2023-04-06</t>
  </si>
  <si>
    <t>August 19, 2023</t>
  </si>
  <si>
    <t>17/10/2023</t>
  </si>
  <si>
    <t>Docking  Station</t>
  </si>
  <si>
    <t>2023-05-05</t>
  </si>
  <si>
    <t>06-28-2023</t>
  </si>
  <si>
    <t>22/07/2023</t>
  </si>
  <si>
    <t>2023-01-07</t>
  </si>
  <si>
    <t>Centra l</t>
  </si>
  <si>
    <t>2023-01-03</t>
  </si>
  <si>
    <t>WEBCAM</t>
  </si>
  <si>
    <t>2023-12-19</t>
  </si>
  <si>
    <t>2023-02-25</t>
  </si>
  <si>
    <t>2023-05-03</t>
  </si>
  <si>
    <t>2023-09-19</t>
  </si>
  <si>
    <t>north</t>
  </si>
  <si>
    <t>$123.40</t>
  </si>
  <si>
    <t>February 24, 2023</t>
  </si>
  <si>
    <t>10/08/2023</t>
  </si>
  <si>
    <t>June 01, 2023</t>
  </si>
  <si>
    <t>2023-05-21</t>
  </si>
  <si>
    <t>2023-12-21</t>
  </si>
  <si>
    <t>$110.21</t>
  </si>
  <si>
    <t>2023-12-11</t>
  </si>
  <si>
    <t>KEYBOARD</t>
  </si>
  <si>
    <t>02-14-2023</t>
  </si>
  <si>
    <t>2023-06-26</t>
  </si>
  <si>
    <t>NORTH</t>
  </si>
  <si>
    <t>20%</t>
  </si>
  <si>
    <t>16/10/2023</t>
  </si>
  <si>
    <t>$87.90</t>
  </si>
  <si>
    <t>08-03-2023</t>
  </si>
  <si>
    <t>2023-03-28</t>
  </si>
  <si>
    <t>30/12/2023</t>
  </si>
  <si>
    <t>docking station</t>
  </si>
  <si>
    <t>12/03/2023</t>
  </si>
  <si>
    <t>2023-08-16</t>
  </si>
  <si>
    <t>September 24, 2023</t>
  </si>
  <si>
    <t>04-01-2023</t>
  </si>
  <si>
    <t>03-13-2023</t>
  </si>
  <si>
    <t>2023-01-28</t>
  </si>
  <si>
    <t>03-30-2023</t>
  </si>
  <si>
    <t>usb hub</t>
  </si>
  <si>
    <t>2023-08-13</t>
  </si>
  <si>
    <t>2023-03-13</t>
  </si>
  <si>
    <t>August 17, 2023</t>
  </si>
  <si>
    <t>2023-07-27</t>
  </si>
  <si>
    <t>$363.62</t>
  </si>
  <si>
    <t>April 26, 2023</t>
  </si>
  <si>
    <t>2023-12-13</t>
  </si>
  <si>
    <t>2023-07-14</t>
  </si>
  <si>
    <t>2023-10-18</t>
  </si>
  <si>
    <t>2023-10-05</t>
  </si>
  <si>
    <t>2023-07-04</t>
  </si>
  <si>
    <t>September 13, 2023</t>
  </si>
  <si>
    <t>2023-04-18</t>
  </si>
  <si>
    <t>2023-02-08</t>
  </si>
  <si>
    <t>October 09, 2023</t>
  </si>
  <si>
    <t>04-02-2023</t>
  </si>
  <si>
    <t>2023-05-24</t>
  </si>
  <si>
    <t>December 27, 2023</t>
  </si>
  <si>
    <t>10-26-2023</t>
  </si>
  <si>
    <t>12-21-2023</t>
  </si>
  <si>
    <t>29/10/2023</t>
  </si>
  <si>
    <t>28/12/2023</t>
  </si>
  <si>
    <t>2023-12-22</t>
  </si>
  <si>
    <t>10%</t>
  </si>
  <si>
    <t>2023-11-01</t>
  </si>
  <si>
    <t>2023-06-19</t>
  </si>
  <si>
    <t>2023-04-03</t>
  </si>
  <si>
    <t>12-01-2023</t>
  </si>
  <si>
    <t>2023-09-16</t>
  </si>
  <si>
    <t>August 09, 2023</t>
  </si>
  <si>
    <t>2023-03-25</t>
  </si>
  <si>
    <t>08/09/2023</t>
  </si>
  <si>
    <t>02-13-2023</t>
  </si>
  <si>
    <t>2023-08-18</t>
  </si>
  <si>
    <t>2023-04-19</t>
  </si>
  <si>
    <t>09-23-2023</t>
  </si>
  <si>
    <t>23/07/2023</t>
  </si>
  <si>
    <t>2023-12-23</t>
  </si>
  <si>
    <t>October 22, 2023</t>
  </si>
  <si>
    <t>11-13-2023</t>
  </si>
  <si>
    <t>02-22-2023</t>
  </si>
  <si>
    <t>2023-02-24</t>
  </si>
  <si>
    <t>2023-05-15</t>
  </si>
  <si>
    <t>2023-10-06</t>
  </si>
  <si>
    <t>07-01-2023</t>
  </si>
  <si>
    <t>12-17-2023</t>
  </si>
  <si>
    <t>08/05/2023</t>
  </si>
  <si>
    <t>01-16-2023</t>
  </si>
  <si>
    <t>2023-09-13</t>
  </si>
  <si>
    <t>2023-04-24</t>
  </si>
  <si>
    <t>2023-06-03</t>
  </si>
  <si>
    <t>2023-08-25</t>
  </si>
  <si>
    <t>2023-10-04</t>
  </si>
  <si>
    <t>January 17, 2023</t>
  </si>
  <si>
    <t>2023-11-22</t>
  </si>
  <si>
    <t>2023-11-24</t>
  </si>
  <si>
    <t>2023-11-27</t>
  </si>
  <si>
    <t>17/12/2023</t>
  </si>
  <si>
    <t>2023-08-23</t>
  </si>
  <si>
    <t>17/01/2023</t>
  </si>
  <si>
    <t>April 11, 2023</t>
  </si>
  <si>
    <t>12-05-2023</t>
  </si>
  <si>
    <t>2023-02-10</t>
  </si>
  <si>
    <t>November 11, 2023</t>
  </si>
  <si>
    <t>16/01/2023</t>
  </si>
  <si>
    <t>14/01/2023</t>
  </si>
  <si>
    <t>November 12, 2023</t>
  </si>
  <si>
    <t>16/02/2023</t>
  </si>
  <si>
    <t>10/06/2023</t>
  </si>
  <si>
    <t>2023-07-23</t>
  </si>
  <si>
    <t xml:space="preserve"> North</t>
  </si>
  <si>
    <t>2023-10-02</t>
  </si>
  <si>
    <t>2023-08-22</t>
  </si>
  <si>
    <t>08-23-2023</t>
  </si>
  <si>
    <t>13/10/2023</t>
  </si>
  <si>
    <t>08-01-2023</t>
  </si>
  <si>
    <t>05/05/2023</t>
  </si>
  <si>
    <t>$42.33</t>
  </si>
  <si>
    <t>2023-05-30</t>
  </si>
  <si>
    <t>10-20-2023</t>
  </si>
  <si>
    <t>2023-06-02</t>
  </si>
  <si>
    <t>11/06/2023</t>
  </si>
  <si>
    <t>February 25, 2023</t>
  </si>
  <si>
    <t>2023-07-16</t>
  </si>
  <si>
    <t>2023-12-01</t>
  </si>
  <si>
    <t>13/02/2023</t>
  </si>
  <si>
    <t>01-17-2023</t>
  </si>
  <si>
    <t>2023-12-26</t>
  </si>
  <si>
    <t>April 24, 2023</t>
  </si>
  <si>
    <t>2023-03-27</t>
  </si>
  <si>
    <t>09/08/2023</t>
  </si>
  <si>
    <t>February 28, 2023</t>
  </si>
  <si>
    <t>November 10, 2023</t>
  </si>
  <si>
    <t>April 17, 2023</t>
  </si>
  <si>
    <t>June 06, 2023</t>
  </si>
  <si>
    <t>2023-10-01</t>
  </si>
  <si>
    <t>06-01-2023</t>
  </si>
  <si>
    <t>06-16-2023</t>
  </si>
  <si>
    <t>21/11/2023</t>
  </si>
  <si>
    <t>February 27, 2023</t>
  </si>
  <si>
    <t>July 01, 2023</t>
  </si>
  <si>
    <t>2023-09-24</t>
  </si>
  <si>
    <t>14/03/2023</t>
  </si>
  <si>
    <t>February 18, 2023</t>
  </si>
  <si>
    <t>June 27, 2023</t>
  </si>
  <si>
    <t>05/01/2023</t>
  </si>
  <si>
    <t>07-11-2023</t>
  </si>
  <si>
    <t>08-19-2023</t>
  </si>
  <si>
    <t>2023-12-10</t>
  </si>
  <si>
    <t>14/08/2023</t>
  </si>
  <si>
    <t>09-10-2023</t>
  </si>
  <si>
    <t>2023-06-28</t>
  </si>
  <si>
    <t>2023-07-02</t>
  </si>
  <si>
    <t>2023-04-12</t>
  </si>
  <si>
    <t>2023-07-29</t>
  </si>
  <si>
    <t>2023-07-11</t>
  </si>
  <si>
    <t>2023-01-12</t>
  </si>
  <si>
    <t>02-08-2023</t>
  </si>
  <si>
    <t>2023-02-20</t>
  </si>
  <si>
    <t>2023-06-16</t>
  </si>
  <si>
    <t>08-18-2023</t>
  </si>
  <si>
    <t>2023-01-04</t>
  </si>
  <si>
    <t>2023-03-11</t>
  </si>
  <si>
    <t>09/09/2023</t>
  </si>
  <si>
    <t>2023-03-31</t>
  </si>
  <si>
    <t>02/02/2023</t>
  </si>
  <si>
    <t>June 04, 2023</t>
  </si>
  <si>
    <t>07-31-2023</t>
  </si>
  <si>
    <t>07-04-2023</t>
  </si>
  <si>
    <t>2023-07-19</t>
  </si>
  <si>
    <t>22/02/2023</t>
  </si>
  <si>
    <t>05/02/2023</t>
  </si>
  <si>
    <t>2023-11-23</t>
  </si>
  <si>
    <t>2023-10-10</t>
  </si>
  <si>
    <t>06/04/2023</t>
  </si>
  <si>
    <t>2023-08-24</t>
  </si>
  <si>
    <t>2023-05-22</t>
  </si>
  <si>
    <t>2023-09-28</t>
  </si>
  <si>
    <t>2023-01-24</t>
  </si>
  <si>
    <t>November 02, 2023</t>
  </si>
  <si>
    <t>05/08/2023</t>
  </si>
  <si>
    <t>15/01/2023</t>
  </si>
  <si>
    <t>01/09/2023</t>
  </si>
  <si>
    <t>02-09-2023</t>
  </si>
  <si>
    <t>07/05/2023</t>
  </si>
  <si>
    <t>02-17-2023</t>
  </si>
  <si>
    <t>June 14, 2023</t>
  </si>
  <si>
    <t>July 11, 2023</t>
  </si>
  <si>
    <t>2023-08-05</t>
  </si>
  <si>
    <t>April 20, 2023</t>
  </si>
  <si>
    <t>2023-12-17</t>
  </si>
  <si>
    <t>17/06/2023</t>
  </si>
  <si>
    <t>2023-01-14</t>
  </si>
  <si>
    <t>08-13-2023</t>
  </si>
  <si>
    <t>17/07/2023</t>
  </si>
  <si>
    <t>2023-12-31</t>
  </si>
  <si>
    <t>2023-01-23</t>
  </si>
  <si>
    <t>2023-02-04</t>
  </si>
  <si>
    <t>18/05/2023</t>
  </si>
  <si>
    <t>13/12/2023</t>
  </si>
  <si>
    <t>03/12/2023</t>
  </si>
  <si>
    <t>2023-05-13</t>
  </si>
  <si>
    <t>February 23, 2023</t>
  </si>
  <si>
    <t>October 06, 2023</t>
  </si>
  <si>
    <t>08-06-2023</t>
  </si>
  <si>
    <t>10-22-2023</t>
  </si>
  <si>
    <t>December 17, 2023</t>
  </si>
  <si>
    <t>March 30, 2023</t>
  </si>
  <si>
    <t>2023-08-07</t>
  </si>
  <si>
    <t>12/06/2023</t>
  </si>
  <si>
    <t>10/03/2023</t>
  </si>
  <si>
    <t>04/08/2023</t>
  </si>
  <si>
    <t>2023-05-28</t>
  </si>
  <si>
    <t>February 02, 2023</t>
  </si>
  <si>
    <t>2023-07-12</t>
  </si>
  <si>
    <t>11-06-2023</t>
  </si>
  <si>
    <t>11-23-2023</t>
  </si>
  <si>
    <t>$35.83</t>
  </si>
  <si>
    <t>2023-10-14</t>
  </si>
  <si>
    <t>May 10, 2023</t>
  </si>
  <si>
    <t>2023-07-28</t>
  </si>
  <si>
    <t>2023-11-19</t>
  </si>
  <si>
    <t>$124.33</t>
  </si>
  <si>
    <t>2023-11-14</t>
  </si>
  <si>
    <t>23/10/2023</t>
  </si>
  <si>
    <t>2023-08-11</t>
  </si>
  <si>
    <t>07/10/2023</t>
  </si>
  <si>
    <t>2023-04-13</t>
  </si>
  <si>
    <t>2023-09-20</t>
  </si>
  <si>
    <t>$129.15</t>
  </si>
  <si>
    <t>July 13, 2023</t>
  </si>
  <si>
    <t>2023-04-16</t>
  </si>
  <si>
    <t>2023-12-30</t>
  </si>
  <si>
    <t>April 09, 2023</t>
  </si>
  <si>
    <t>2023-11-29</t>
  </si>
  <si>
    <t>2023-01-19</t>
  </si>
  <si>
    <t>2023-06-11</t>
  </si>
  <si>
    <t>2023-02-07</t>
  </si>
  <si>
    <t>22/01/2023</t>
  </si>
  <si>
    <t>05/11/2023</t>
  </si>
  <si>
    <t>06-19-2023</t>
  </si>
  <si>
    <t>2023-08-09</t>
  </si>
  <si>
    <t>October 02, 2023</t>
  </si>
  <si>
    <t>2023-02-19</t>
  </si>
  <si>
    <t>July 27, 2023</t>
  </si>
  <si>
    <t>11-01-2023</t>
  </si>
  <si>
    <t>2023-01-17</t>
  </si>
  <si>
    <t>$1,083.56</t>
  </si>
  <si>
    <t>2023-03-14</t>
  </si>
  <si>
    <t>05-07-2023</t>
  </si>
  <si>
    <t>October 17, 2023</t>
  </si>
  <si>
    <t>19/07/2023</t>
  </si>
  <si>
    <t>April 02, 2023</t>
  </si>
  <si>
    <t>2023-10-28</t>
  </si>
  <si>
    <t>10-31-2023</t>
  </si>
  <si>
    <t>2023-10-25</t>
  </si>
  <si>
    <t>11/09/2023</t>
  </si>
  <si>
    <t>November 28, 2023</t>
  </si>
  <si>
    <t>2023-06-18</t>
  </si>
  <si>
    <t>15/05/2023</t>
  </si>
  <si>
    <t>2023-09-08</t>
  </si>
  <si>
    <t>2023-12-20</t>
  </si>
  <si>
    <t>2023-04-23</t>
  </si>
  <si>
    <t>$1,294.24</t>
  </si>
  <si>
    <t>September 14, 2023</t>
  </si>
  <si>
    <t>07-21-2023</t>
  </si>
  <si>
    <t>17/09/2023</t>
  </si>
  <si>
    <t>20/08/2023</t>
  </si>
  <si>
    <t>2023-05-07</t>
  </si>
  <si>
    <t>February 22, 2023</t>
  </si>
  <si>
    <t>2023-10-15</t>
  </si>
  <si>
    <t>July 04, 2023</t>
  </si>
  <si>
    <t>11/10/2023</t>
  </si>
  <si>
    <t>03-01-2023</t>
  </si>
  <si>
    <t>2023-04-28</t>
  </si>
  <si>
    <t>09-26-2023</t>
  </si>
  <si>
    <t>10-09-2023</t>
  </si>
  <si>
    <t>2023-10-30</t>
  </si>
  <si>
    <t>2023-05-19</t>
  </si>
  <si>
    <t>January 07, 2023</t>
  </si>
  <si>
    <t>2023-07-06</t>
  </si>
  <si>
    <t>July 23, 2023</t>
  </si>
  <si>
    <t>$331.46</t>
  </si>
  <si>
    <t>2023-09-06</t>
  </si>
  <si>
    <t>06-09-2023</t>
  </si>
  <si>
    <t>October 16, 2023</t>
  </si>
  <si>
    <t>2023-02-17</t>
  </si>
  <si>
    <t>09-05-2023</t>
  </si>
  <si>
    <t>05-20-2023</t>
  </si>
  <si>
    <t>2023-02-22</t>
  </si>
  <si>
    <t>12/10/2023</t>
  </si>
  <si>
    <t>May 23, 2023</t>
  </si>
  <si>
    <t>November 24, 2023</t>
  </si>
  <si>
    <t>March 09, 2023</t>
  </si>
  <si>
    <t>January 23, 2023</t>
  </si>
  <si>
    <t>June 07, 2023</t>
  </si>
  <si>
    <t>2023-03-29</t>
  </si>
  <si>
    <t>2023-06-13</t>
  </si>
  <si>
    <t>May 19, 2023</t>
  </si>
  <si>
    <t>2023-05-18</t>
  </si>
  <si>
    <t>27/03/2023</t>
  </si>
  <si>
    <t>2023-08-26</t>
  </si>
  <si>
    <t>01-29-2023</t>
  </si>
  <si>
    <t>2023-03-19</t>
  </si>
  <si>
    <t>2023-12-07</t>
  </si>
  <si>
    <t>10-12-2023</t>
  </si>
  <si>
    <t>2023-10-27</t>
  </si>
  <si>
    <t>04-16-2023</t>
  </si>
  <si>
    <t>2023-11-09</t>
  </si>
  <si>
    <t>November 14, 2023</t>
  </si>
  <si>
    <t>2023-08-10</t>
  </si>
  <si>
    <t>2023-07-01</t>
  </si>
  <si>
    <t>2023-02-13</t>
  </si>
  <si>
    <t>09-28-2023</t>
  </si>
  <si>
    <t>2023-11-30</t>
  </si>
  <si>
    <t>23/12/2023</t>
  </si>
  <si>
    <t>$43.43</t>
  </si>
  <si>
    <t>August 13, 2023</t>
  </si>
  <si>
    <t>April 13, 2023</t>
  </si>
  <si>
    <t>07-22-2023</t>
  </si>
  <si>
    <t>24/07/2023</t>
  </si>
  <si>
    <t>2023-11-21</t>
  </si>
  <si>
    <t>October 21, 2023</t>
  </si>
  <si>
    <t>$49.10</t>
  </si>
  <si>
    <t>02/03/2023</t>
  </si>
  <si>
    <t>2023-10-17</t>
  </si>
  <si>
    <t>$33.19</t>
  </si>
  <si>
    <t>04-06-2023</t>
  </si>
  <si>
    <t>2023-07-20</t>
  </si>
  <si>
    <t>April 05, 2023</t>
  </si>
  <si>
    <t>10-11-2023</t>
  </si>
  <si>
    <t>$36.42</t>
  </si>
  <si>
    <t>11-02-2023</t>
  </si>
  <si>
    <t>20/02/2023</t>
  </si>
  <si>
    <t>12-16-2023</t>
  </si>
  <si>
    <t>27/09/2023</t>
  </si>
  <si>
    <t>2023-11-28</t>
  </si>
  <si>
    <t>09/02/2023</t>
  </si>
  <si>
    <t>March 20, 2023</t>
  </si>
  <si>
    <t>24/06/2023</t>
  </si>
  <si>
    <t>2023-01-22</t>
  </si>
  <si>
    <t>19/06/2023</t>
  </si>
  <si>
    <t>$106.49</t>
  </si>
  <si>
    <t>04-04-2023</t>
  </si>
  <si>
    <t>12-27-2023</t>
  </si>
  <si>
    <t>2023-11-13</t>
  </si>
  <si>
    <t>11/03/2023</t>
  </si>
  <si>
    <t>2023-11-03</t>
  </si>
  <si>
    <t>04-22-2023</t>
  </si>
  <si>
    <t>June 28, 2023</t>
  </si>
  <si>
    <t>2023-07-22</t>
  </si>
  <si>
    <t>2023-03-26</t>
  </si>
  <si>
    <t>2023-02-14</t>
  </si>
  <si>
    <t>25/07/2023</t>
  </si>
  <si>
    <t>$126.44</t>
  </si>
  <si>
    <t>12/02/2023</t>
  </si>
  <si>
    <t>June 21, 2023</t>
  </si>
  <si>
    <t>2023-01-06</t>
  </si>
  <si>
    <t>10/04/2023</t>
  </si>
  <si>
    <t>2023-04-11</t>
  </si>
  <si>
    <t>04/12/2023</t>
  </si>
  <si>
    <t>07-14-2023</t>
  </si>
  <si>
    <t>May 28, 2023</t>
  </si>
  <si>
    <t>May 09, 2023</t>
  </si>
  <si>
    <t>03/11/2023</t>
  </si>
  <si>
    <t>2023-09-05</t>
  </si>
  <si>
    <t>2023-07-03</t>
  </si>
  <si>
    <t>03-18-2023</t>
  </si>
  <si>
    <t>05-10-2023</t>
  </si>
  <si>
    <t>13/01/2023</t>
  </si>
  <si>
    <t>2023-05-04</t>
  </si>
  <si>
    <t>December 12, 2023</t>
  </si>
  <si>
    <t>2023-09-07</t>
  </si>
  <si>
    <t>27/11/2023</t>
  </si>
  <si>
    <t>15/03/2023</t>
  </si>
  <si>
    <t>2023-08-14</t>
  </si>
  <si>
    <t>28/03/2023</t>
  </si>
  <si>
    <t>$325.44</t>
  </si>
  <si>
    <t>11/08/2023</t>
  </si>
  <si>
    <t>October 31, 2023</t>
  </si>
  <si>
    <t>09-22-2023</t>
  </si>
  <si>
    <t>06-03-2023</t>
  </si>
  <si>
    <t>2023-06-30</t>
  </si>
  <si>
    <t>2023-11-17</t>
  </si>
  <si>
    <t>03-23-2023</t>
  </si>
  <si>
    <t>04-27-2023</t>
  </si>
  <si>
    <t>September 03, 2023</t>
  </si>
  <si>
    <t>10-28-2023</t>
  </si>
  <si>
    <t>27/12/2023</t>
  </si>
  <si>
    <t>$429.87</t>
  </si>
  <si>
    <t>February 11, 2023</t>
  </si>
  <si>
    <t>2023-06-20</t>
  </si>
  <si>
    <t>TOTAL REVENUE</t>
  </si>
  <si>
    <t>$3,417,617</t>
  </si>
  <si>
    <t>TOTAL ORDERS</t>
  </si>
  <si>
    <t>AVG. DISCOUNT</t>
  </si>
  <si>
    <t>TOP REGION</t>
  </si>
  <si>
    <t>AVG. REVENUE</t>
  </si>
  <si>
    <t>Top SALES_REP</t>
  </si>
  <si>
    <t>TECH_SALES DASHBOARD</t>
  </si>
  <si>
    <t>Data Cleaning Process — Tech Sales Data*</t>
  </si>
  <si>
    <t>Before building the dashboard, I cleaned the raw dataset in Power Query to ensure the data was accurate and ready for analysis. Below are the steps I took:</t>
  </si>
  <si>
    <t>*1. Standardised Date Formats*</t>
  </si>
  <si>
    <t>The Date column had three different formats in the same column — some dates were written as 2023-12-03, others as January 05 2023, and others as 03/16/2023. I standardised all dates to a consistent YYYY-MM-DD format.</t>
  </si>
  <si>
    <t>*2. Fixed Region Column*</t>
  </si>
  <si>
    <t>The Region column had inconsistent capitalisation and extra spaces — for example "S outh", "WEST", "east" and "East" all referred to the same regions. I trimmed the extra spaces and standardised all entries to Proper Case.</t>
  </si>
  <si>
    <t>*3. Fixed Product Column*</t>
  </si>
  <si>
    <t>Product names were inconsistently formatted — "HEADSET", "headset" and "Headset" appeared as separate entries. I standardised all product names to Proper Case for consistency.</t>
  </si>
  <si>
    <t>*4. Handled Missing Sales Rep Values*</t>
  </si>
  <si>
    <t>Some rows had blank Sales Rep entries. I replaced all blank values with "Unknown Rep" so no records were lost from the analysis.</t>
  </si>
  <si>
    <t>*5. Cleaned Unit Price Column*</t>
  </si>
  <si>
    <t>Some unit prices had a dollar symbol inside the cell — for example $296.79 — which prevented Excel from reading them as numbers. I removed all currency symbols and ensured the column was fully numeric.</t>
  </si>
  <si>
    <t>*6. Cleaned Discount % Column*</t>
  </si>
  <si>
    <t>Some discount values had a percentage symbol inside the cell — for example 5% — while others were plain numbers. I removed all percentage symbols and standardised the column to plain numbers.</t>
  </si>
  <si>
    <t>*7. Verified Data Types*</t>
  </si>
  <si>
    <t>After cleaning, I confirmed that all columns had the correct data types — dates as dates, numbers as numbers, and text as text — before loading the data into the model for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</si>
</sst>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1"/>
      <color rgb="FFFFFFFF"/>
      <name val="Arial"/>
    </font>
    <font>
      <b/>
      <sz val="16"/>
      <color theme="1"/>
      <name val="Calibri"/>
      <family val="2"/>
      <scheme val="minor"/>
    </font>
    <font>
      <b/>
      <sz val="18"/>
      <color theme="1"/>
      <name val="Calibri"/>
      <family val="2"/>
      <scheme val="minor"/>
    </font>
    <font>
      <sz val="16"/>
      <color theme="1"/>
      <name val="Calibri"/>
      <family val="2"/>
      <scheme val="minor"/>
    </font>
    <font>
      <b/>
      <sz val="22"/>
      <color theme="1"/>
      <name val="Calibri"/>
      <family val="2"/>
      <scheme val="minor"/>
    </font>
    <font>
      <sz val="22"/>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1F3864"/>
      </patternFill>
    </fill>
    <fill>
      <patternFill patternType="solid">
        <fgColor rgb="FFDD6590"/>
        <bgColor indexed="64"/>
      </patternFill>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2">
    <xf numFmtId="0" fontId="0" fillId="0" borderId="0" xfId="0"/>
    <xf numFmtId="14" fontId="0" fillId="0" borderId="0" xfId="0" applyNumberFormat="1"/>
    <xf numFmtId="0" fontId="0" fillId="0" borderId="0" xfId="0" pivotButton="1"/>
    <xf numFmtId="0" fontId="0" fillId="0" borderId="0" xfId="0" applyAlignment="1">
      <alignment horizontal="left"/>
    </xf>
    <xf numFmtId="43" fontId="0" fillId="0" borderId="0" xfId="0" applyNumberFormat="1"/>
    <xf numFmtId="0" fontId="3" fillId="2" borderId="0" xfId="0" applyFont="1" applyFill="1" applyAlignment="1">
      <alignment horizontal="center" vertical="center"/>
    </xf>
    <xf numFmtId="0" fontId="0" fillId="3" borderId="0" xfId="0" applyFill="1"/>
    <xf numFmtId="0" fontId="7" fillId="3" borderId="0" xfId="0" applyFont="1" applyFill="1"/>
    <xf numFmtId="0" fontId="8" fillId="3" borderId="0" xfId="0" applyFont="1" applyFill="1"/>
    <xf numFmtId="0" fontId="0" fillId="3" borderId="0" xfId="0" applyFill="1" applyAlignment="1">
      <alignment horizontal="center"/>
    </xf>
    <xf numFmtId="164" fontId="0" fillId="3" borderId="0" xfId="1" applyNumberFormat="1" applyFont="1" applyFill="1" applyBorder="1" applyAlignment="1">
      <alignment horizontal="center"/>
    </xf>
    <xf numFmtId="9" fontId="5" fillId="3" borderId="0" xfId="2" applyFont="1" applyFill="1" applyBorder="1" applyAlignment="1">
      <alignment horizontal="center"/>
    </xf>
    <xf numFmtId="0" fontId="6" fillId="3" borderId="0" xfId="0" applyFont="1" applyFill="1" applyAlignment="1">
      <alignment horizontal="center"/>
    </xf>
    <xf numFmtId="0" fontId="9" fillId="0" borderId="0" xfId="0" applyFont="1"/>
    <xf numFmtId="9" fontId="5" fillId="3" borderId="3" xfId="2" applyFont="1" applyFill="1" applyBorder="1" applyAlignment="1">
      <alignment horizontal="center"/>
    </xf>
    <xf numFmtId="9" fontId="5" fillId="3" borderId="4" xfId="2" applyFont="1" applyFill="1" applyBorder="1" applyAlignment="1">
      <alignment horizontal="center"/>
    </xf>
    <xf numFmtId="9" fontId="5" fillId="3" borderId="5" xfId="2" applyFont="1" applyFill="1" applyBorder="1" applyAlignment="1">
      <alignment horizontal="center"/>
    </xf>
    <xf numFmtId="9" fontId="5" fillId="3" borderId="6" xfId="2" applyFont="1" applyFill="1" applyBorder="1" applyAlignment="1">
      <alignment horizontal="center"/>
    </xf>
    <xf numFmtId="0" fontId="2" fillId="3" borderId="1" xfId="0" applyFont="1" applyFill="1" applyBorder="1" applyAlignment="1">
      <alignment horizontal="center"/>
    </xf>
    <xf numFmtId="0" fontId="2" fillId="3" borderId="2" xfId="0" applyFont="1" applyFill="1" applyBorder="1" applyAlignment="1">
      <alignment horizontal="center"/>
    </xf>
    <xf numFmtId="0" fontId="4" fillId="3" borderId="3" xfId="0" applyFont="1" applyFill="1" applyBorder="1" applyAlignment="1">
      <alignment horizontal="center"/>
    </xf>
    <xf numFmtId="0" fontId="6" fillId="3" borderId="4" xfId="0" applyFont="1" applyFill="1" applyBorder="1" applyAlignment="1">
      <alignment horizontal="center"/>
    </xf>
    <xf numFmtId="0" fontId="6" fillId="3" borderId="5" xfId="0" applyFont="1" applyFill="1" applyBorder="1" applyAlignment="1">
      <alignment horizontal="center"/>
    </xf>
    <xf numFmtId="0" fontId="6" fillId="3" borderId="6" xfId="0" applyFont="1" applyFill="1" applyBorder="1" applyAlignment="1">
      <alignment horizontal="center"/>
    </xf>
    <xf numFmtId="0" fontId="5" fillId="3" borderId="3" xfId="0" applyFont="1"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164" fontId="5" fillId="3" borderId="3" xfId="1" applyNumberFormat="1" applyFont="1" applyFill="1" applyBorder="1" applyAlignment="1">
      <alignment horizontal="center"/>
    </xf>
    <xf numFmtId="164" fontId="0" fillId="3" borderId="4" xfId="1" applyNumberFormat="1" applyFont="1" applyFill="1" applyBorder="1" applyAlignment="1">
      <alignment horizontal="center"/>
    </xf>
    <xf numFmtId="164" fontId="0" fillId="3" borderId="5" xfId="1" applyNumberFormat="1" applyFont="1" applyFill="1" applyBorder="1" applyAlignment="1">
      <alignment horizontal="center"/>
    </xf>
    <xf numFmtId="164" fontId="0" fillId="3" borderId="6" xfId="1" applyNumberFormat="1" applyFont="1" applyFill="1" applyBorder="1" applyAlignment="1">
      <alignment horizontal="center"/>
    </xf>
  </cellXfs>
  <cellStyles count="3">
    <cellStyle name="Comma" xfId="1" builtinId="3"/>
    <cellStyle name="Normal" xfId="0" builtinId="0"/>
    <cellStyle name="Percent" xfId="2" builtinId="5"/>
  </cellStyles>
  <dxfs count="19">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0" formatCode="General"/>
    </dxf>
  </dxfs>
  <tableStyles count="0" defaultTableStyle="TableStyleMedium2" defaultPivotStyle="PivotStyleLight16"/>
  <colors>
    <mruColors>
      <color rgb="FFDD659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[Tech_Sales_Data2.xlsx]Pivots!PivotTable2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a:t>
            </a:r>
            <a:r>
              <a:rPr lang="en-US" b="1" baseline="0"/>
              <a:t> by Revenue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Pivots!$B$16</c:f>
              <c:strCache>
                <c:ptCount val="1"/>
                <c:pt idx="0">
                  <c:v>Total</c:v>
                </c:pt>
              </c:strCache>
            </c:strRef>
          </c:tx>
          <c:spPr>
            <a:solidFill>
              <a:schemeClr val="accent1"/>
            </a:solidFill>
            <a:ln>
              <a:noFill/>
            </a:ln>
            <a:effectLst/>
          </c:spPr>
          <c:invertIfNegative val="0"/>
          <c:cat>
            <c:strRef>
              <c:f>Pivots!$A$17:$A$22</c:f>
              <c:strCache>
                <c:ptCount val="5"/>
                <c:pt idx="0">
                  <c:v>East</c:v>
                </c:pt>
                <c:pt idx="1">
                  <c:v>Central</c:v>
                </c:pt>
                <c:pt idx="2">
                  <c:v>North</c:v>
                </c:pt>
                <c:pt idx="3">
                  <c:v>West</c:v>
                </c:pt>
                <c:pt idx="4">
                  <c:v>South</c:v>
                </c:pt>
              </c:strCache>
            </c:strRef>
          </c:cat>
          <c:val>
            <c:numRef>
              <c:f>Pivots!$B$17:$B$22</c:f>
              <c:numCache>
                <c:formatCode>_(* #,##0.00_);_(* \(#,##0.00\);_(* "-"??_);_(@_)</c:formatCode>
                <c:ptCount val="5"/>
                <c:pt idx="0">
                  <c:v>740438.2300000001</c:v>
                </c:pt>
                <c:pt idx="1">
                  <c:v>713262.04000000015</c:v>
                </c:pt>
                <c:pt idx="2">
                  <c:v>709185.07999999984</c:v>
                </c:pt>
                <c:pt idx="3">
                  <c:v>685271.49000000011</c:v>
                </c:pt>
                <c:pt idx="4">
                  <c:v>569460.98</c:v>
                </c:pt>
              </c:numCache>
            </c:numRef>
          </c:val>
          <c:extLst>
            <c:ext xmlns:c16="http://schemas.microsoft.com/office/drawing/2014/chart" uri="{C3380CC4-5D6E-409C-BE32-E72D297353CC}">
              <c16:uniqueId val="{00000000-8918-4CCC-9E17-81094A62E696}"/>
            </c:ext>
          </c:extLst>
        </c:ser>
        <c:dLbls>
          <c:showLegendKey val="0"/>
          <c:showVal val="0"/>
          <c:showCatName val="0"/>
          <c:showSerName val="0"/>
          <c:showPercent val="0"/>
          <c:showBubbleSize val="0"/>
        </c:dLbls>
        <c:gapWidth val="150"/>
        <c:overlap val="100"/>
        <c:axId val="651054543"/>
        <c:axId val="651055023"/>
      </c:barChart>
      <c:catAx>
        <c:axId val="65105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055023"/>
        <c:crosses val="autoZero"/>
        <c:auto val="1"/>
        <c:lblAlgn val="ctr"/>
        <c:lblOffset val="100"/>
        <c:noMultiLvlLbl val="0"/>
      </c:catAx>
      <c:valAx>
        <c:axId val="651055023"/>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05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[Tech_Sales_Data2.xlsx]Pivots!PivotTable4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Revenue Trend</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Pivots!$B$36:$B$48</c:f>
              <c:numCache>
                <c:formatCode>_(* #,##0.00_);_(* \(#,##0.00\);_(* "-"??_);_(@_)</c:formatCode>
                <c:ptCount val="12"/>
                <c:pt idx="0">
                  <c:v>148609.85999999999</c:v>
                </c:pt>
                <c:pt idx="1">
                  <c:v>335436.04999999993</c:v>
                </c:pt>
                <c:pt idx="2">
                  <c:v>261066.03000000009</c:v>
                </c:pt>
                <c:pt idx="3">
                  <c:v>192337.11000000004</c:v>
                </c:pt>
                <c:pt idx="4">
                  <c:v>265479.27</c:v>
                </c:pt>
                <c:pt idx="5">
                  <c:v>295716.92000000004</c:v>
                </c:pt>
                <c:pt idx="6">
                  <c:v>423279.51000000007</c:v>
                </c:pt>
                <c:pt idx="7">
                  <c:v>330334.06</c:v>
                </c:pt>
                <c:pt idx="8">
                  <c:v>293885.28999999998</c:v>
                </c:pt>
                <c:pt idx="9">
                  <c:v>315031.9599999999</c:v>
                </c:pt>
                <c:pt idx="10">
                  <c:v>271863.83000000007</c:v>
                </c:pt>
                <c:pt idx="11">
                  <c:v>284577.92999999993</c:v>
                </c:pt>
              </c:numCache>
            </c:numRef>
          </c:val>
          <c:smooth val="0"/>
          <c:extLst>
            <c:ext xmlns:c16="http://schemas.microsoft.com/office/drawing/2014/chart" uri="{C3380CC4-5D6E-409C-BE32-E72D297353CC}">
              <c16:uniqueId val="{00000000-D9EC-4888-831C-E91A5A912937}"/>
            </c:ext>
          </c:extLst>
        </c:ser>
        <c:dLbls>
          <c:showLegendKey val="0"/>
          <c:showVal val="0"/>
          <c:showCatName val="0"/>
          <c:showSerName val="0"/>
          <c:showPercent val="0"/>
          <c:showBubbleSize val="0"/>
        </c:dLbls>
        <c:marker val="1"/>
        <c:smooth val="0"/>
        <c:axId val="1865868319"/>
        <c:axId val="1865868799"/>
      </c:lineChart>
      <c:catAx>
        <c:axId val="1865868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868799"/>
        <c:crosses val="autoZero"/>
        <c:auto val="1"/>
        <c:lblAlgn val="ctr"/>
        <c:lblOffset val="100"/>
        <c:noMultiLvlLbl val="0"/>
      </c:catAx>
      <c:valAx>
        <c:axId val="18658687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86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[Tech_Sales_Data2.xlsx]Pivots!PivotTable1</c:name>
    <c:fmtId val="2"/>
  </c:pivotSource>
  <c:chart>
    <c:title>
      <c:tx>
        <c:rich>
          <a:bodyPr rot="0" spcFirstLastPara="1" vertOverflow="ellipsis" vert="horz" wrap="square" anchor="ctr" anchorCtr="1"/>
          <a:lstStyle/>
          <a:p>
            <a:pPr>
              <a:defRPr sz="1400" b="1" i="0" u="none" strike="noStrike" kern="1200" cap="none" spc="0" normalizeH="0" baseline="0">
                <a:solidFill>
                  <a:schemeClr val="tx1">
                    <a:lumMod val="65000"/>
                    <a:lumOff val="35000"/>
                  </a:schemeClr>
                </a:solidFill>
                <a:latin typeface="+mj-lt"/>
                <a:ea typeface="+mj-ea"/>
                <a:cs typeface="+mj-cs"/>
              </a:defRPr>
            </a:pPr>
            <a:r>
              <a:rPr lang="en-US" sz="1400" b="1"/>
              <a:t>Product  by Revenue</a:t>
            </a:r>
          </a:p>
        </c:rich>
      </c:tx>
      <c:overlay val="0"/>
      <c:spPr>
        <a:noFill/>
        <a:ln>
          <a:noFill/>
        </a:ln>
        <a:effectLst/>
      </c:spPr>
      <c:txPr>
        <a:bodyPr rot="0" spcFirstLastPara="1" vertOverflow="ellipsis" vert="horz" wrap="square" anchor="ctr" anchorCtr="1"/>
        <a:lstStyle/>
        <a:p>
          <a:pPr>
            <a:defRPr sz="14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55358705161856"/>
          <c:y val="0.25865522018081066"/>
          <c:w val="0.66770559930008744"/>
          <c:h val="0.36520596383785359"/>
        </c:manualLayout>
      </c:layout>
      <c:barChart>
        <c:barDir val="col"/>
        <c:grouping val="stacked"/>
        <c:varyColors val="0"/>
        <c:ser>
          <c:idx val="0"/>
          <c:order val="0"/>
          <c:tx>
            <c:strRef>
              <c:f>Pivots!$B$3</c:f>
              <c:strCache>
                <c:ptCount val="1"/>
                <c:pt idx="0">
                  <c:v>Total</c:v>
                </c:pt>
              </c:strCache>
            </c:strRef>
          </c:tx>
          <c:spPr>
            <a:solidFill>
              <a:schemeClr val="accent1"/>
            </a:solidFill>
            <a:ln>
              <a:noFill/>
            </a:ln>
            <a:effectLst/>
          </c:spPr>
          <c:invertIfNegative val="0"/>
          <c:cat>
            <c:strRef>
              <c:f>Pivots!$A$4:$A$12</c:f>
              <c:strCache>
                <c:ptCount val="8"/>
                <c:pt idx="0">
                  <c:v>Docking Station</c:v>
                </c:pt>
                <c:pt idx="1">
                  <c:v>Headset</c:v>
                </c:pt>
                <c:pt idx="2">
                  <c:v>Keyboard</c:v>
                </c:pt>
                <c:pt idx="3">
                  <c:v>Laptop</c:v>
                </c:pt>
                <c:pt idx="4">
                  <c:v>Monitor</c:v>
                </c:pt>
                <c:pt idx="5">
                  <c:v>Mouse</c:v>
                </c:pt>
                <c:pt idx="6">
                  <c:v>Usb Hub</c:v>
                </c:pt>
                <c:pt idx="7">
                  <c:v>Webcam</c:v>
                </c:pt>
              </c:strCache>
            </c:strRef>
          </c:cat>
          <c:val>
            <c:numRef>
              <c:f>Pivots!$B$4:$B$12</c:f>
              <c:numCache>
                <c:formatCode>_(* #,##0.00_);_(* \(#,##0.00\);_(* "-"??_);_(@_)</c:formatCode>
                <c:ptCount val="8"/>
                <c:pt idx="0">
                  <c:v>578615.14</c:v>
                </c:pt>
                <c:pt idx="1">
                  <c:v>206280.89000000004</c:v>
                </c:pt>
                <c:pt idx="2">
                  <c:v>113234.69000000002</c:v>
                </c:pt>
                <c:pt idx="3">
                  <c:v>1496037.4899999995</c:v>
                </c:pt>
                <c:pt idx="4">
                  <c:v>753170.2</c:v>
                </c:pt>
                <c:pt idx="5">
                  <c:v>85926.089999999953</c:v>
                </c:pt>
                <c:pt idx="6">
                  <c:v>46507.629999999983</c:v>
                </c:pt>
                <c:pt idx="7">
                  <c:v>137845.69</c:v>
                </c:pt>
              </c:numCache>
            </c:numRef>
          </c:val>
          <c:extLst>
            <c:ext xmlns:c16="http://schemas.microsoft.com/office/drawing/2014/chart" uri="{C3380CC4-5D6E-409C-BE32-E72D297353CC}">
              <c16:uniqueId val="{00000000-4E86-4692-9168-0BD288C34255}"/>
            </c:ext>
          </c:extLst>
        </c:ser>
        <c:dLbls>
          <c:showLegendKey val="0"/>
          <c:showVal val="0"/>
          <c:showCatName val="0"/>
          <c:showSerName val="0"/>
          <c:showPercent val="0"/>
          <c:showBubbleSize val="0"/>
        </c:dLbls>
        <c:gapWidth val="150"/>
        <c:overlap val="100"/>
        <c:axId val="107600015"/>
        <c:axId val="107601455"/>
      </c:barChart>
      <c:catAx>
        <c:axId val="10760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7601455"/>
        <c:crosses val="autoZero"/>
        <c:auto val="1"/>
        <c:lblAlgn val="ctr"/>
        <c:lblOffset val="100"/>
        <c:noMultiLvlLbl val="0"/>
      </c:catAx>
      <c:valAx>
        <c:axId val="107601455"/>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0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[Tech_Sales_Data2.xlsx]Pivots2!PivotTable2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Revenue By Sales_Rep &amp; Region</a:t>
            </a:r>
            <a:endParaRPr lang="en-US" b="1"/>
          </a:p>
        </c:rich>
      </c:tx>
      <c:layout>
        <c:manualLayout>
          <c:xMode val="edge"/>
          <c:yMode val="edge"/>
          <c:x val="0.20844261641544257"/>
          <c:y val="4.5760151955082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68482270508651"/>
          <c:y val="0.18260479575975333"/>
          <c:w val="0.68958390359218646"/>
          <c:h val="0.51609306118288611"/>
        </c:manualLayout>
      </c:layout>
      <c:barChart>
        <c:barDir val="col"/>
        <c:grouping val="clustered"/>
        <c:varyColors val="0"/>
        <c:ser>
          <c:idx val="0"/>
          <c:order val="0"/>
          <c:tx>
            <c:strRef>
              <c:f>Pivots2!$B$46:$B$47</c:f>
              <c:strCache>
                <c:ptCount val="1"/>
                <c:pt idx="0">
                  <c:v>Central</c:v>
                </c:pt>
              </c:strCache>
            </c:strRef>
          </c:tx>
          <c:spPr>
            <a:solidFill>
              <a:schemeClr val="accent1"/>
            </a:solidFill>
            <a:ln>
              <a:noFill/>
            </a:ln>
            <a:effectLst/>
          </c:spPr>
          <c:invertIfNegative val="0"/>
          <c:cat>
            <c:strRef>
              <c:f>Pivots2!$A$48:$A$59</c:f>
              <c:strCache>
                <c:ptCount val="11"/>
                <c:pt idx="0">
                  <c:v>Maria Santos</c:v>
                </c:pt>
                <c:pt idx="1">
                  <c:v>Linda Nguyen</c:v>
                </c:pt>
                <c:pt idx="2">
                  <c:v>David Chen</c:v>
                </c:pt>
                <c:pt idx="3">
                  <c:v>Emily Johnson</c:v>
                </c:pt>
                <c:pt idx="4">
                  <c:v>Aisha Mensah</c:v>
                </c:pt>
                <c:pt idx="5">
                  <c:v>James Okafor</c:v>
                </c:pt>
                <c:pt idx="6">
                  <c:v>Kevin Patel</c:v>
                </c:pt>
                <c:pt idx="7">
                  <c:v>Carlos Rivera</c:v>
                </c:pt>
                <c:pt idx="8">
                  <c:v>Tom Baker</c:v>
                </c:pt>
                <c:pt idx="9">
                  <c:v>Sarah Williams</c:v>
                </c:pt>
                <c:pt idx="10">
                  <c:v>Unknown Rep</c:v>
                </c:pt>
              </c:strCache>
            </c:strRef>
          </c:cat>
          <c:val>
            <c:numRef>
              <c:f>Pivots2!$B$48:$B$59</c:f>
              <c:numCache>
                <c:formatCode>_(* #,##0.00_);_(* \(#,##0.00\);_(* "-"??_);_(@_)</c:formatCode>
                <c:ptCount val="11"/>
                <c:pt idx="0">
                  <c:v>85449.59</c:v>
                </c:pt>
                <c:pt idx="1">
                  <c:v>148270.74</c:v>
                </c:pt>
                <c:pt idx="2">
                  <c:v>71028.989999999991</c:v>
                </c:pt>
                <c:pt idx="3">
                  <c:v>86918.48</c:v>
                </c:pt>
                <c:pt idx="4">
                  <c:v>110212.4</c:v>
                </c:pt>
                <c:pt idx="5">
                  <c:v>10627.810000000001</c:v>
                </c:pt>
                <c:pt idx="6">
                  <c:v>27162.969999999998</c:v>
                </c:pt>
                <c:pt idx="7">
                  <c:v>34813.61</c:v>
                </c:pt>
                <c:pt idx="8">
                  <c:v>54006.689999999995</c:v>
                </c:pt>
                <c:pt idx="9">
                  <c:v>54056.840000000004</c:v>
                </c:pt>
                <c:pt idx="10">
                  <c:v>30713.920000000002</c:v>
                </c:pt>
              </c:numCache>
            </c:numRef>
          </c:val>
          <c:extLst>
            <c:ext xmlns:c16="http://schemas.microsoft.com/office/drawing/2014/chart" uri="{C3380CC4-5D6E-409C-BE32-E72D297353CC}">
              <c16:uniqueId val="{00000000-54EA-4C2A-A446-614B8600CE39}"/>
            </c:ext>
          </c:extLst>
        </c:ser>
        <c:ser>
          <c:idx val="1"/>
          <c:order val="1"/>
          <c:tx>
            <c:strRef>
              <c:f>Pivots2!$C$46:$C$47</c:f>
              <c:strCache>
                <c:ptCount val="1"/>
                <c:pt idx="0">
                  <c:v>East</c:v>
                </c:pt>
              </c:strCache>
            </c:strRef>
          </c:tx>
          <c:spPr>
            <a:solidFill>
              <a:schemeClr val="accent2"/>
            </a:solidFill>
            <a:ln>
              <a:noFill/>
            </a:ln>
            <a:effectLst/>
          </c:spPr>
          <c:invertIfNegative val="0"/>
          <c:cat>
            <c:strRef>
              <c:f>Pivots2!$A$48:$A$59</c:f>
              <c:strCache>
                <c:ptCount val="11"/>
                <c:pt idx="0">
                  <c:v>Maria Santos</c:v>
                </c:pt>
                <c:pt idx="1">
                  <c:v>Linda Nguyen</c:v>
                </c:pt>
                <c:pt idx="2">
                  <c:v>David Chen</c:v>
                </c:pt>
                <c:pt idx="3">
                  <c:v>Emily Johnson</c:v>
                </c:pt>
                <c:pt idx="4">
                  <c:v>Aisha Mensah</c:v>
                </c:pt>
                <c:pt idx="5">
                  <c:v>James Okafor</c:v>
                </c:pt>
                <c:pt idx="6">
                  <c:v>Kevin Patel</c:v>
                </c:pt>
                <c:pt idx="7">
                  <c:v>Carlos Rivera</c:v>
                </c:pt>
                <c:pt idx="8">
                  <c:v>Tom Baker</c:v>
                </c:pt>
                <c:pt idx="9">
                  <c:v>Sarah Williams</c:v>
                </c:pt>
                <c:pt idx="10">
                  <c:v>Unknown Rep</c:v>
                </c:pt>
              </c:strCache>
            </c:strRef>
          </c:cat>
          <c:val>
            <c:numRef>
              <c:f>Pivots2!$C$48:$C$59</c:f>
              <c:numCache>
                <c:formatCode>_(* #,##0.00_);_(* \(#,##0.00\);_(* "-"??_);_(@_)</c:formatCode>
                <c:ptCount val="11"/>
                <c:pt idx="0">
                  <c:v>139930.32</c:v>
                </c:pt>
                <c:pt idx="1">
                  <c:v>103177.78</c:v>
                </c:pt>
                <c:pt idx="2">
                  <c:v>16568.7</c:v>
                </c:pt>
                <c:pt idx="3">
                  <c:v>78979.38</c:v>
                </c:pt>
                <c:pt idx="4">
                  <c:v>79613.989999999991</c:v>
                </c:pt>
                <c:pt idx="5">
                  <c:v>40263.75</c:v>
                </c:pt>
                <c:pt idx="6">
                  <c:v>31159.65</c:v>
                </c:pt>
                <c:pt idx="7">
                  <c:v>63303.299999999996</c:v>
                </c:pt>
                <c:pt idx="8">
                  <c:v>83565.53</c:v>
                </c:pt>
                <c:pt idx="9">
                  <c:v>66915.199999999997</c:v>
                </c:pt>
                <c:pt idx="10">
                  <c:v>36960.629999999997</c:v>
                </c:pt>
              </c:numCache>
            </c:numRef>
          </c:val>
          <c:extLst>
            <c:ext xmlns:c16="http://schemas.microsoft.com/office/drawing/2014/chart" uri="{C3380CC4-5D6E-409C-BE32-E72D297353CC}">
              <c16:uniqueId val="{00000001-54EA-4C2A-A446-614B8600CE39}"/>
            </c:ext>
          </c:extLst>
        </c:ser>
        <c:ser>
          <c:idx val="2"/>
          <c:order val="2"/>
          <c:tx>
            <c:strRef>
              <c:f>Pivots2!$D$46:$D$47</c:f>
              <c:strCache>
                <c:ptCount val="1"/>
                <c:pt idx="0">
                  <c:v>North</c:v>
                </c:pt>
              </c:strCache>
            </c:strRef>
          </c:tx>
          <c:spPr>
            <a:solidFill>
              <a:schemeClr val="accent3"/>
            </a:solidFill>
            <a:ln>
              <a:noFill/>
            </a:ln>
            <a:effectLst/>
          </c:spPr>
          <c:invertIfNegative val="0"/>
          <c:cat>
            <c:strRef>
              <c:f>Pivots2!$A$48:$A$59</c:f>
              <c:strCache>
                <c:ptCount val="11"/>
                <c:pt idx="0">
                  <c:v>Maria Santos</c:v>
                </c:pt>
                <c:pt idx="1">
                  <c:v>Linda Nguyen</c:v>
                </c:pt>
                <c:pt idx="2">
                  <c:v>David Chen</c:v>
                </c:pt>
                <c:pt idx="3">
                  <c:v>Emily Johnson</c:v>
                </c:pt>
                <c:pt idx="4">
                  <c:v>Aisha Mensah</c:v>
                </c:pt>
                <c:pt idx="5">
                  <c:v>James Okafor</c:v>
                </c:pt>
                <c:pt idx="6">
                  <c:v>Kevin Patel</c:v>
                </c:pt>
                <c:pt idx="7">
                  <c:v>Carlos Rivera</c:v>
                </c:pt>
                <c:pt idx="8">
                  <c:v>Tom Baker</c:v>
                </c:pt>
                <c:pt idx="9">
                  <c:v>Sarah Williams</c:v>
                </c:pt>
                <c:pt idx="10">
                  <c:v>Unknown Rep</c:v>
                </c:pt>
              </c:strCache>
            </c:strRef>
          </c:cat>
          <c:val>
            <c:numRef>
              <c:f>Pivots2!$D$48:$D$59</c:f>
              <c:numCache>
                <c:formatCode>_(* #,##0.00_);_(* \(#,##0.00\);_(* "-"??_);_(@_)</c:formatCode>
                <c:ptCount val="11"/>
                <c:pt idx="0">
                  <c:v>53857.49</c:v>
                </c:pt>
                <c:pt idx="1">
                  <c:v>124845.79999999997</c:v>
                </c:pt>
                <c:pt idx="2">
                  <c:v>88549.270000000019</c:v>
                </c:pt>
                <c:pt idx="3">
                  <c:v>73181.210000000006</c:v>
                </c:pt>
                <c:pt idx="4">
                  <c:v>76386.8</c:v>
                </c:pt>
                <c:pt idx="5">
                  <c:v>40274.229999999996</c:v>
                </c:pt>
                <c:pt idx="6">
                  <c:v>52045.93</c:v>
                </c:pt>
                <c:pt idx="7">
                  <c:v>66799.81</c:v>
                </c:pt>
                <c:pt idx="8">
                  <c:v>74930.929999999993</c:v>
                </c:pt>
                <c:pt idx="9">
                  <c:v>55368.380000000005</c:v>
                </c:pt>
                <c:pt idx="10">
                  <c:v>2945.23</c:v>
                </c:pt>
              </c:numCache>
            </c:numRef>
          </c:val>
          <c:extLst>
            <c:ext xmlns:c16="http://schemas.microsoft.com/office/drawing/2014/chart" uri="{C3380CC4-5D6E-409C-BE32-E72D297353CC}">
              <c16:uniqueId val="{00000002-54EA-4C2A-A446-614B8600CE39}"/>
            </c:ext>
          </c:extLst>
        </c:ser>
        <c:ser>
          <c:idx val="3"/>
          <c:order val="3"/>
          <c:tx>
            <c:strRef>
              <c:f>Pivots2!$E$46:$E$47</c:f>
              <c:strCache>
                <c:ptCount val="1"/>
                <c:pt idx="0">
                  <c:v>South</c:v>
                </c:pt>
              </c:strCache>
            </c:strRef>
          </c:tx>
          <c:spPr>
            <a:solidFill>
              <a:schemeClr val="accent4"/>
            </a:solidFill>
            <a:ln>
              <a:noFill/>
            </a:ln>
            <a:effectLst/>
          </c:spPr>
          <c:invertIfNegative val="0"/>
          <c:cat>
            <c:strRef>
              <c:f>Pivots2!$A$48:$A$59</c:f>
              <c:strCache>
                <c:ptCount val="11"/>
                <c:pt idx="0">
                  <c:v>Maria Santos</c:v>
                </c:pt>
                <c:pt idx="1">
                  <c:v>Linda Nguyen</c:v>
                </c:pt>
                <c:pt idx="2">
                  <c:v>David Chen</c:v>
                </c:pt>
                <c:pt idx="3">
                  <c:v>Emily Johnson</c:v>
                </c:pt>
                <c:pt idx="4">
                  <c:v>Aisha Mensah</c:v>
                </c:pt>
                <c:pt idx="5">
                  <c:v>James Okafor</c:v>
                </c:pt>
                <c:pt idx="6">
                  <c:v>Kevin Patel</c:v>
                </c:pt>
                <c:pt idx="7">
                  <c:v>Carlos Rivera</c:v>
                </c:pt>
                <c:pt idx="8">
                  <c:v>Tom Baker</c:v>
                </c:pt>
                <c:pt idx="9">
                  <c:v>Sarah Williams</c:v>
                </c:pt>
                <c:pt idx="10">
                  <c:v>Unknown Rep</c:v>
                </c:pt>
              </c:strCache>
            </c:strRef>
          </c:cat>
          <c:val>
            <c:numRef>
              <c:f>Pivots2!$E$48:$E$59</c:f>
              <c:numCache>
                <c:formatCode>_(* #,##0.00_);_(* \(#,##0.00\);_(* "-"??_);_(@_)</c:formatCode>
                <c:ptCount val="11"/>
                <c:pt idx="0">
                  <c:v>121463.74999999999</c:v>
                </c:pt>
                <c:pt idx="1">
                  <c:v>61232.079999999994</c:v>
                </c:pt>
                <c:pt idx="2">
                  <c:v>35057.389999999992</c:v>
                </c:pt>
                <c:pt idx="3">
                  <c:v>69072.94</c:v>
                </c:pt>
                <c:pt idx="4">
                  <c:v>7839.9699999999993</c:v>
                </c:pt>
                <c:pt idx="5">
                  <c:v>137359.15</c:v>
                </c:pt>
                <c:pt idx="6">
                  <c:v>33525.119999999995</c:v>
                </c:pt>
                <c:pt idx="7">
                  <c:v>61602.62</c:v>
                </c:pt>
                <c:pt idx="8">
                  <c:v>12501.33</c:v>
                </c:pt>
                <c:pt idx="9">
                  <c:v>24202.32</c:v>
                </c:pt>
                <c:pt idx="10">
                  <c:v>5604.31</c:v>
                </c:pt>
              </c:numCache>
            </c:numRef>
          </c:val>
          <c:extLst>
            <c:ext xmlns:c16="http://schemas.microsoft.com/office/drawing/2014/chart" uri="{C3380CC4-5D6E-409C-BE32-E72D297353CC}">
              <c16:uniqueId val="{00000007-54EA-4C2A-A446-614B8600CE39}"/>
            </c:ext>
          </c:extLst>
        </c:ser>
        <c:ser>
          <c:idx val="4"/>
          <c:order val="4"/>
          <c:tx>
            <c:strRef>
              <c:f>Pivots2!$F$46:$F$47</c:f>
              <c:strCache>
                <c:ptCount val="1"/>
                <c:pt idx="0">
                  <c:v>West</c:v>
                </c:pt>
              </c:strCache>
            </c:strRef>
          </c:tx>
          <c:spPr>
            <a:solidFill>
              <a:schemeClr val="accent5"/>
            </a:solidFill>
            <a:ln>
              <a:noFill/>
            </a:ln>
            <a:effectLst/>
          </c:spPr>
          <c:invertIfNegative val="0"/>
          <c:cat>
            <c:strRef>
              <c:f>Pivots2!$A$48:$A$59</c:f>
              <c:strCache>
                <c:ptCount val="11"/>
                <c:pt idx="0">
                  <c:v>Maria Santos</c:v>
                </c:pt>
                <c:pt idx="1">
                  <c:v>Linda Nguyen</c:v>
                </c:pt>
                <c:pt idx="2">
                  <c:v>David Chen</c:v>
                </c:pt>
                <c:pt idx="3">
                  <c:v>Emily Johnson</c:v>
                </c:pt>
                <c:pt idx="4">
                  <c:v>Aisha Mensah</c:v>
                </c:pt>
                <c:pt idx="5">
                  <c:v>James Okafor</c:v>
                </c:pt>
                <c:pt idx="6">
                  <c:v>Kevin Patel</c:v>
                </c:pt>
                <c:pt idx="7">
                  <c:v>Carlos Rivera</c:v>
                </c:pt>
                <c:pt idx="8">
                  <c:v>Tom Baker</c:v>
                </c:pt>
                <c:pt idx="9">
                  <c:v>Sarah Williams</c:v>
                </c:pt>
                <c:pt idx="10">
                  <c:v>Unknown Rep</c:v>
                </c:pt>
              </c:strCache>
            </c:strRef>
          </c:cat>
          <c:val>
            <c:numRef>
              <c:f>Pivots2!$F$48:$F$59</c:f>
              <c:numCache>
                <c:formatCode>_(* #,##0.00_);_(* \(#,##0.00\);_(* "-"??_);_(@_)</c:formatCode>
                <c:ptCount val="11"/>
                <c:pt idx="0">
                  <c:v>77490.239999999991</c:v>
                </c:pt>
                <c:pt idx="1">
                  <c:v>19657.05</c:v>
                </c:pt>
                <c:pt idx="2">
                  <c:v>151789.07999999999</c:v>
                </c:pt>
                <c:pt idx="3">
                  <c:v>32706.479999999992</c:v>
                </c:pt>
                <c:pt idx="4">
                  <c:v>59152.320000000007</c:v>
                </c:pt>
                <c:pt idx="5">
                  <c:v>65191.08</c:v>
                </c:pt>
                <c:pt idx="6">
                  <c:v>137385.09999999998</c:v>
                </c:pt>
                <c:pt idx="7">
                  <c:v>53693.83</c:v>
                </c:pt>
                <c:pt idx="8">
                  <c:v>33172</c:v>
                </c:pt>
                <c:pt idx="9">
                  <c:v>46561.24</c:v>
                </c:pt>
                <c:pt idx="10">
                  <c:v>8473.07</c:v>
                </c:pt>
              </c:numCache>
            </c:numRef>
          </c:val>
          <c:extLst>
            <c:ext xmlns:c16="http://schemas.microsoft.com/office/drawing/2014/chart" uri="{C3380CC4-5D6E-409C-BE32-E72D297353CC}">
              <c16:uniqueId val="{00000009-54EA-4C2A-A446-614B8600CE39}"/>
            </c:ext>
          </c:extLst>
        </c:ser>
        <c:dLbls>
          <c:showLegendKey val="0"/>
          <c:showVal val="0"/>
          <c:showCatName val="0"/>
          <c:showSerName val="0"/>
          <c:showPercent val="0"/>
          <c:showBubbleSize val="0"/>
        </c:dLbls>
        <c:gapWidth val="219"/>
        <c:overlap val="-27"/>
        <c:axId val="663339903"/>
        <c:axId val="663342303"/>
      </c:barChart>
      <c:catAx>
        <c:axId val="66333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342303"/>
        <c:crosses val="autoZero"/>
        <c:auto val="1"/>
        <c:lblAlgn val="ctr"/>
        <c:lblOffset val="100"/>
        <c:noMultiLvlLbl val="0"/>
      </c:catAx>
      <c:valAx>
        <c:axId val="663342303"/>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33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[Tech_Sales_Data2.xlsx]Pivots2!PivotTable1</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a:t>
            </a:r>
            <a:r>
              <a:rPr lang="en-US" b="1" baseline="0"/>
              <a:t> Discount% by Sales_rep &amp; Region</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6643592627845"/>
          <c:y val="0.30095696762771396"/>
          <c:w val="0.71716973839808484"/>
          <c:h val="0.38378719909982856"/>
        </c:manualLayout>
      </c:layout>
      <c:barChart>
        <c:barDir val="col"/>
        <c:grouping val="clustered"/>
        <c:varyColors val="0"/>
        <c:ser>
          <c:idx val="0"/>
          <c:order val="0"/>
          <c:tx>
            <c:strRef>
              <c:f>Pivots2!$B$26:$B$27</c:f>
              <c:strCache>
                <c:ptCount val="1"/>
                <c:pt idx="0">
                  <c:v>Central</c:v>
                </c:pt>
              </c:strCache>
            </c:strRef>
          </c:tx>
          <c:spPr>
            <a:solidFill>
              <a:schemeClr val="accent1"/>
            </a:solidFill>
            <a:ln>
              <a:noFill/>
            </a:ln>
            <a:effectLst/>
          </c:spPr>
          <c:invertIfNegative val="0"/>
          <c:cat>
            <c:strRef>
              <c:f>Pivots2!$A$28:$A$39</c:f>
              <c:strCache>
                <c:ptCount val="11"/>
                <c:pt idx="0">
                  <c:v>Aisha Mensah</c:v>
                </c:pt>
                <c:pt idx="1">
                  <c:v>Carlos Rivera</c:v>
                </c:pt>
                <c:pt idx="2">
                  <c:v>David Chen</c:v>
                </c:pt>
                <c:pt idx="3">
                  <c:v>Emily Johnson</c:v>
                </c:pt>
                <c:pt idx="4">
                  <c:v>James Okafor</c:v>
                </c:pt>
                <c:pt idx="5">
                  <c:v>Kevin Patel</c:v>
                </c:pt>
                <c:pt idx="6">
                  <c:v>Linda Nguyen</c:v>
                </c:pt>
                <c:pt idx="7">
                  <c:v>Maria Santos</c:v>
                </c:pt>
                <c:pt idx="8">
                  <c:v>Sarah Williams</c:v>
                </c:pt>
                <c:pt idx="9">
                  <c:v>Tom Baker</c:v>
                </c:pt>
                <c:pt idx="10">
                  <c:v>Unknown Rep</c:v>
                </c:pt>
              </c:strCache>
            </c:strRef>
          </c:cat>
          <c:val>
            <c:numRef>
              <c:f>Pivots2!$B$28:$B$39</c:f>
              <c:numCache>
                <c:formatCode>_(* #,##0.00_);_(* \(#,##0.00\);_(* "-"??_);_(@_)</c:formatCode>
                <c:ptCount val="11"/>
                <c:pt idx="0">
                  <c:v>7.4999999999999997E-2</c:v>
                </c:pt>
                <c:pt idx="1">
                  <c:v>3.2500000000000008E-2</c:v>
                </c:pt>
                <c:pt idx="2">
                  <c:v>0.11000000000000001</c:v>
                </c:pt>
                <c:pt idx="3">
                  <c:v>1.8000000000000009E-2</c:v>
                </c:pt>
                <c:pt idx="4">
                  <c:v>0.05</c:v>
                </c:pt>
                <c:pt idx="5">
                  <c:v>8.8333333333333333E-2</c:v>
                </c:pt>
                <c:pt idx="6">
                  <c:v>4.6666666666666676E-2</c:v>
                </c:pt>
                <c:pt idx="7">
                  <c:v>5.000000000000001E-2</c:v>
                </c:pt>
                <c:pt idx="8">
                  <c:v>7.8571428571428584E-2</c:v>
                </c:pt>
                <c:pt idx="9">
                  <c:v>7.0000000000000007E-2</c:v>
                </c:pt>
                <c:pt idx="10">
                  <c:v>3.3333333333333333E-2</c:v>
                </c:pt>
              </c:numCache>
            </c:numRef>
          </c:val>
          <c:extLst>
            <c:ext xmlns:c16="http://schemas.microsoft.com/office/drawing/2014/chart" uri="{C3380CC4-5D6E-409C-BE32-E72D297353CC}">
              <c16:uniqueId val="{00000000-FB6E-4F1D-8CDE-983B263D9821}"/>
            </c:ext>
          </c:extLst>
        </c:ser>
        <c:ser>
          <c:idx val="1"/>
          <c:order val="1"/>
          <c:tx>
            <c:strRef>
              <c:f>Pivots2!$C$26:$C$27</c:f>
              <c:strCache>
                <c:ptCount val="1"/>
                <c:pt idx="0">
                  <c:v>East</c:v>
                </c:pt>
              </c:strCache>
            </c:strRef>
          </c:tx>
          <c:spPr>
            <a:solidFill>
              <a:schemeClr val="accent2"/>
            </a:solidFill>
            <a:ln>
              <a:noFill/>
            </a:ln>
            <a:effectLst/>
          </c:spPr>
          <c:invertIfNegative val="0"/>
          <c:cat>
            <c:strRef>
              <c:f>Pivots2!$A$28:$A$39</c:f>
              <c:strCache>
                <c:ptCount val="11"/>
                <c:pt idx="0">
                  <c:v>Aisha Mensah</c:v>
                </c:pt>
                <c:pt idx="1">
                  <c:v>Carlos Rivera</c:v>
                </c:pt>
                <c:pt idx="2">
                  <c:v>David Chen</c:v>
                </c:pt>
                <c:pt idx="3">
                  <c:v>Emily Johnson</c:v>
                </c:pt>
                <c:pt idx="4">
                  <c:v>James Okafor</c:v>
                </c:pt>
                <c:pt idx="5">
                  <c:v>Kevin Patel</c:v>
                </c:pt>
                <c:pt idx="6">
                  <c:v>Linda Nguyen</c:v>
                </c:pt>
                <c:pt idx="7">
                  <c:v>Maria Santos</c:v>
                </c:pt>
                <c:pt idx="8">
                  <c:v>Sarah Williams</c:v>
                </c:pt>
                <c:pt idx="9">
                  <c:v>Tom Baker</c:v>
                </c:pt>
                <c:pt idx="10">
                  <c:v>Unknown Rep</c:v>
                </c:pt>
              </c:strCache>
            </c:strRef>
          </c:cat>
          <c:val>
            <c:numRef>
              <c:f>Pivots2!$C$28:$C$39</c:f>
              <c:numCache>
                <c:formatCode>_(* #,##0.00_);_(* \(#,##0.00\);_(* "-"??_);_(@_)</c:formatCode>
                <c:ptCount val="11"/>
                <c:pt idx="0">
                  <c:v>6.1111111111111102E-2</c:v>
                </c:pt>
                <c:pt idx="1">
                  <c:v>7.4999999999999997E-2</c:v>
                </c:pt>
                <c:pt idx="2">
                  <c:v>0.16428571428571428</c:v>
                </c:pt>
                <c:pt idx="3">
                  <c:v>4.9999999999999996E-2</c:v>
                </c:pt>
                <c:pt idx="4">
                  <c:v>2.3750000000000004E-2</c:v>
                </c:pt>
                <c:pt idx="5">
                  <c:v>6.2500000000000014E-2</c:v>
                </c:pt>
                <c:pt idx="6">
                  <c:v>0.108</c:v>
                </c:pt>
                <c:pt idx="7">
                  <c:v>9.7857142857142879E-2</c:v>
                </c:pt>
                <c:pt idx="8">
                  <c:v>3.125E-2</c:v>
                </c:pt>
                <c:pt idx="9">
                  <c:v>2.3846153846153847E-2</c:v>
                </c:pt>
                <c:pt idx="10">
                  <c:v>0.13000000000000003</c:v>
                </c:pt>
              </c:numCache>
            </c:numRef>
          </c:val>
          <c:extLst>
            <c:ext xmlns:c16="http://schemas.microsoft.com/office/drawing/2014/chart" uri="{C3380CC4-5D6E-409C-BE32-E72D297353CC}">
              <c16:uniqueId val="{00000001-FB6E-4F1D-8CDE-983B263D9821}"/>
            </c:ext>
          </c:extLst>
        </c:ser>
        <c:ser>
          <c:idx val="2"/>
          <c:order val="2"/>
          <c:tx>
            <c:strRef>
              <c:f>Pivots2!$D$26:$D$27</c:f>
              <c:strCache>
                <c:ptCount val="1"/>
                <c:pt idx="0">
                  <c:v>North</c:v>
                </c:pt>
              </c:strCache>
            </c:strRef>
          </c:tx>
          <c:spPr>
            <a:solidFill>
              <a:schemeClr val="accent3"/>
            </a:solidFill>
            <a:ln>
              <a:noFill/>
            </a:ln>
            <a:effectLst/>
          </c:spPr>
          <c:invertIfNegative val="0"/>
          <c:cat>
            <c:strRef>
              <c:f>Pivots2!$A$28:$A$39</c:f>
              <c:strCache>
                <c:ptCount val="11"/>
                <c:pt idx="0">
                  <c:v>Aisha Mensah</c:v>
                </c:pt>
                <c:pt idx="1">
                  <c:v>Carlos Rivera</c:v>
                </c:pt>
                <c:pt idx="2">
                  <c:v>David Chen</c:v>
                </c:pt>
                <c:pt idx="3">
                  <c:v>Emily Johnson</c:v>
                </c:pt>
                <c:pt idx="4">
                  <c:v>James Okafor</c:v>
                </c:pt>
                <c:pt idx="5">
                  <c:v>Kevin Patel</c:v>
                </c:pt>
                <c:pt idx="6">
                  <c:v>Linda Nguyen</c:v>
                </c:pt>
                <c:pt idx="7">
                  <c:v>Maria Santos</c:v>
                </c:pt>
                <c:pt idx="8">
                  <c:v>Sarah Williams</c:v>
                </c:pt>
                <c:pt idx="9">
                  <c:v>Tom Baker</c:v>
                </c:pt>
                <c:pt idx="10">
                  <c:v>Unknown Rep</c:v>
                </c:pt>
              </c:strCache>
            </c:strRef>
          </c:cat>
          <c:val>
            <c:numRef>
              <c:f>Pivots2!$D$28:$D$39</c:f>
              <c:numCache>
                <c:formatCode>_(* #,##0.00_);_(* \(#,##0.00\);_(* "-"??_);_(@_)</c:formatCode>
                <c:ptCount val="11"/>
                <c:pt idx="0">
                  <c:v>1.6666666666666666E-2</c:v>
                </c:pt>
                <c:pt idx="1">
                  <c:v>5.6249999999999994E-2</c:v>
                </c:pt>
                <c:pt idx="2">
                  <c:v>9.3750000000000014E-2</c:v>
                </c:pt>
                <c:pt idx="3">
                  <c:v>8.2500000000000004E-2</c:v>
                </c:pt>
                <c:pt idx="4">
                  <c:v>0.11874999999999999</c:v>
                </c:pt>
                <c:pt idx="5">
                  <c:v>0.1111111111111111</c:v>
                </c:pt>
                <c:pt idx="6">
                  <c:v>6.9230769230769235E-2</c:v>
                </c:pt>
                <c:pt idx="7">
                  <c:v>7.2727272727272738E-2</c:v>
                </c:pt>
                <c:pt idx="8">
                  <c:v>8.7499999999999994E-2</c:v>
                </c:pt>
                <c:pt idx="9">
                  <c:v>0.10000000000000002</c:v>
                </c:pt>
                <c:pt idx="10">
                  <c:v>0.125</c:v>
                </c:pt>
              </c:numCache>
            </c:numRef>
          </c:val>
          <c:extLst>
            <c:ext xmlns:c16="http://schemas.microsoft.com/office/drawing/2014/chart" uri="{C3380CC4-5D6E-409C-BE32-E72D297353CC}">
              <c16:uniqueId val="{00000002-FB6E-4F1D-8CDE-983B263D9821}"/>
            </c:ext>
          </c:extLst>
        </c:ser>
        <c:ser>
          <c:idx val="3"/>
          <c:order val="3"/>
          <c:tx>
            <c:strRef>
              <c:f>Pivots2!$E$26:$E$27</c:f>
              <c:strCache>
                <c:ptCount val="1"/>
                <c:pt idx="0">
                  <c:v>South</c:v>
                </c:pt>
              </c:strCache>
            </c:strRef>
          </c:tx>
          <c:spPr>
            <a:solidFill>
              <a:schemeClr val="accent4"/>
            </a:solidFill>
            <a:ln>
              <a:noFill/>
            </a:ln>
            <a:effectLst/>
          </c:spPr>
          <c:invertIfNegative val="0"/>
          <c:cat>
            <c:strRef>
              <c:f>Pivots2!$A$28:$A$39</c:f>
              <c:strCache>
                <c:ptCount val="11"/>
                <c:pt idx="0">
                  <c:v>Aisha Mensah</c:v>
                </c:pt>
                <c:pt idx="1">
                  <c:v>Carlos Rivera</c:v>
                </c:pt>
                <c:pt idx="2">
                  <c:v>David Chen</c:v>
                </c:pt>
                <c:pt idx="3">
                  <c:v>Emily Johnson</c:v>
                </c:pt>
                <c:pt idx="4">
                  <c:v>James Okafor</c:v>
                </c:pt>
                <c:pt idx="5">
                  <c:v>Kevin Patel</c:v>
                </c:pt>
                <c:pt idx="6">
                  <c:v>Linda Nguyen</c:v>
                </c:pt>
                <c:pt idx="7">
                  <c:v>Maria Santos</c:v>
                </c:pt>
                <c:pt idx="8">
                  <c:v>Sarah Williams</c:v>
                </c:pt>
                <c:pt idx="9">
                  <c:v>Tom Baker</c:v>
                </c:pt>
                <c:pt idx="10">
                  <c:v>Unknown Rep</c:v>
                </c:pt>
              </c:strCache>
            </c:strRef>
          </c:cat>
          <c:val>
            <c:numRef>
              <c:f>Pivots2!$E$28:$E$39</c:f>
              <c:numCache>
                <c:formatCode>_(* #,##0.00_);_(* \(#,##0.00\);_(* "-"??_);_(@_)</c:formatCode>
                <c:ptCount val="11"/>
                <c:pt idx="0">
                  <c:v>6.9999999999999993E-2</c:v>
                </c:pt>
                <c:pt idx="1">
                  <c:v>3.125E-2</c:v>
                </c:pt>
                <c:pt idx="2">
                  <c:v>7.5000000000000011E-2</c:v>
                </c:pt>
                <c:pt idx="3">
                  <c:v>5.4166666666666675E-2</c:v>
                </c:pt>
                <c:pt idx="4">
                  <c:v>5.4166666666666662E-2</c:v>
                </c:pt>
                <c:pt idx="5">
                  <c:v>-8.3333333333333315E-3</c:v>
                </c:pt>
                <c:pt idx="6">
                  <c:v>9.4444444444444456E-2</c:v>
                </c:pt>
                <c:pt idx="7">
                  <c:v>7.6153846153846155E-2</c:v>
                </c:pt>
                <c:pt idx="8">
                  <c:v>3.125E-2</c:v>
                </c:pt>
                <c:pt idx="9">
                  <c:v>5.7142857142857148E-2</c:v>
                </c:pt>
                <c:pt idx="10">
                  <c:v>0</c:v>
                </c:pt>
              </c:numCache>
            </c:numRef>
          </c:val>
          <c:extLst>
            <c:ext xmlns:c16="http://schemas.microsoft.com/office/drawing/2014/chart" uri="{C3380CC4-5D6E-409C-BE32-E72D297353CC}">
              <c16:uniqueId val="{00000007-FB6E-4F1D-8CDE-983B263D9821}"/>
            </c:ext>
          </c:extLst>
        </c:ser>
        <c:ser>
          <c:idx val="4"/>
          <c:order val="4"/>
          <c:tx>
            <c:strRef>
              <c:f>Pivots2!$F$26:$F$27</c:f>
              <c:strCache>
                <c:ptCount val="1"/>
                <c:pt idx="0">
                  <c:v>West</c:v>
                </c:pt>
              </c:strCache>
            </c:strRef>
          </c:tx>
          <c:spPr>
            <a:solidFill>
              <a:schemeClr val="accent5"/>
            </a:solidFill>
            <a:ln>
              <a:noFill/>
            </a:ln>
            <a:effectLst/>
          </c:spPr>
          <c:invertIfNegative val="0"/>
          <c:cat>
            <c:strRef>
              <c:f>Pivots2!$A$28:$A$39</c:f>
              <c:strCache>
                <c:ptCount val="11"/>
                <c:pt idx="0">
                  <c:v>Aisha Mensah</c:v>
                </c:pt>
                <c:pt idx="1">
                  <c:v>Carlos Rivera</c:v>
                </c:pt>
                <c:pt idx="2">
                  <c:v>David Chen</c:v>
                </c:pt>
                <c:pt idx="3">
                  <c:v>Emily Johnson</c:v>
                </c:pt>
                <c:pt idx="4">
                  <c:v>James Okafor</c:v>
                </c:pt>
                <c:pt idx="5">
                  <c:v>Kevin Patel</c:v>
                </c:pt>
                <c:pt idx="6">
                  <c:v>Linda Nguyen</c:v>
                </c:pt>
                <c:pt idx="7">
                  <c:v>Maria Santos</c:v>
                </c:pt>
                <c:pt idx="8">
                  <c:v>Sarah Williams</c:v>
                </c:pt>
                <c:pt idx="9">
                  <c:v>Tom Baker</c:v>
                </c:pt>
                <c:pt idx="10">
                  <c:v>Unknown Rep</c:v>
                </c:pt>
              </c:strCache>
            </c:strRef>
          </c:cat>
          <c:val>
            <c:numRef>
              <c:f>Pivots2!$F$28:$F$39</c:f>
              <c:numCache>
                <c:formatCode>_(* #,##0.00_);_(* \(#,##0.00\);_(* "-"??_);_(@_)</c:formatCode>
                <c:ptCount val="11"/>
                <c:pt idx="0">
                  <c:v>0.12083333333333333</c:v>
                </c:pt>
                <c:pt idx="1">
                  <c:v>0.12454545454545456</c:v>
                </c:pt>
                <c:pt idx="2">
                  <c:v>7.4999999999999997E-2</c:v>
                </c:pt>
                <c:pt idx="3">
                  <c:v>7.6666666666666661E-2</c:v>
                </c:pt>
                <c:pt idx="4">
                  <c:v>5.6249999999999994E-2</c:v>
                </c:pt>
                <c:pt idx="5">
                  <c:v>0.19666666666666668</c:v>
                </c:pt>
                <c:pt idx="6">
                  <c:v>8.1250000000000003E-2</c:v>
                </c:pt>
                <c:pt idx="7">
                  <c:v>7.6666666666666675E-2</c:v>
                </c:pt>
                <c:pt idx="8">
                  <c:v>5.0909090909090911E-2</c:v>
                </c:pt>
                <c:pt idx="9">
                  <c:v>2.8571428571428574E-2</c:v>
                </c:pt>
                <c:pt idx="10">
                  <c:v>5.000000000000001E-2</c:v>
                </c:pt>
              </c:numCache>
            </c:numRef>
          </c:val>
          <c:extLst>
            <c:ext xmlns:c16="http://schemas.microsoft.com/office/drawing/2014/chart" uri="{C3380CC4-5D6E-409C-BE32-E72D297353CC}">
              <c16:uniqueId val="{00000009-FB6E-4F1D-8CDE-983B263D9821}"/>
            </c:ext>
          </c:extLst>
        </c:ser>
        <c:dLbls>
          <c:showLegendKey val="0"/>
          <c:showVal val="0"/>
          <c:showCatName val="0"/>
          <c:showSerName val="0"/>
          <c:showPercent val="0"/>
          <c:showBubbleSize val="0"/>
        </c:dLbls>
        <c:gapWidth val="219"/>
        <c:overlap val="-27"/>
        <c:axId val="660117567"/>
        <c:axId val="660119007"/>
      </c:barChart>
      <c:catAx>
        <c:axId val="66011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119007"/>
        <c:crosses val="autoZero"/>
        <c:auto val="1"/>
        <c:lblAlgn val="ctr"/>
        <c:lblOffset val="100"/>
        <c:noMultiLvlLbl val="0"/>
      </c:catAx>
      <c:valAx>
        <c:axId val="660119007"/>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11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[Tech_Sales_Data2.xlsx]Pivots2!PivotTable7</c:name>
    <c:fmtId val="2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Discount_Band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5544676480657311"/>
          <c:y val="0.25325277409630725"/>
          <c:w val="0.35675714448737395"/>
          <c:h val="0.34333619188690523"/>
        </c:manualLayout>
      </c:layout>
      <c:bar3DChart>
        <c:barDir val="col"/>
        <c:grouping val="clustered"/>
        <c:varyColors val="0"/>
        <c:ser>
          <c:idx val="1"/>
          <c:order val="1"/>
          <c:tx>
            <c:strRef>
              <c:f>Pivots2!$J$3</c:f>
              <c:strCache>
                <c:ptCount val="1"/>
                <c:pt idx="0">
                  <c:v>Total Revenue</c:v>
                </c:pt>
              </c:strCache>
            </c:strRef>
          </c:tx>
          <c:spPr>
            <a:solidFill>
              <a:schemeClr val="accent5"/>
            </a:solidFill>
            <a:ln>
              <a:noFill/>
            </a:ln>
            <a:effectLst/>
            <a:sp3d/>
          </c:spPr>
          <c:invertIfNegative val="0"/>
          <c:cat>
            <c:strRef>
              <c:f>Pivots2!$H$4:$H$8</c:f>
              <c:strCache>
                <c:ptCount val="4"/>
                <c:pt idx="0">
                  <c:v>High </c:v>
                </c:pt>
                <c:pt idx="1">
                  <c:v>Low </c:v>
                </c:pt>
                <c:pt idx="2">
                  <c:v>Medium </c:v>
                </c:pt>
                <c:pt idx="3">
                  <c:v>No_Discount </c:v>
                </c:pt>
              </c:strCache>
            </c:strRef>
          </c:cat>
          <c:val>
            <c:numRef>
              <c:f>Pivots2!$J$4:$J$8</c:f>
              <c:numCache>
                <c:formatCode>_(* #,##0.00_);_(* \(#,##0.00\);_(* "-"??_);_(@_)</c:formatCode>
                <c:ptCount val="4"/>
                <c:pt idx="0">
                  <c:v>56112.99</c:v>
                </c:pt>
                <c:pt idx="1">
                  <c:v>897298.19000000006</c:v>
                </c:pt>
                <c:pt idx="2">
                  <c:v>852161.64000000013</c:v>
                </c:pt>
                <c:pt idx="3">
                  <c:v>1612045.0000000016</c:v>
                </c:pt>
              </c:numCache>
            </c:numRef>
          </c:val>
          <c:extLst>
            <c:ext xmlns:c16="http://schemas.microsoft.com/office/drawing/2014/chart" uri="{C3380CC4-5D6E-409C-BE32-E72D297353CC}">
              <c16:uniqueId val="{00000000-5946-442A-9F25-76E568199E80}"/>
            </c:ext>
          </c:extLst>
        </c:ser>
        <c:dLbls>
          <c:showLegendKey val="0"/>
          <c:showVal val="0"/>
          <c:showCatName val="0"/>
          <c:showSerName val="0"/>
          <c:showPercent val="0"/>
          <c:showBubbleSize val="0"/>
        </c:dLbls>
        <c:gapWidth val="219"/>
        <c:shape val="box"/>
        <c:axId val="20488399"/>
        <c:axId val="20488879"/>
        <c:axId val="0"/>
      </c:bar3DChart>
      <c:bar3DChart>
        <c:barDir val="col"/>
        <c:grouping val="clustered"/>
        <c:varyColors val="0"/>
        <c:ser>
          <c:idx val="0"/>
          <c:order val="0"/>
          <c:tx>
            <c:strRef>
              <c:f>Pivots2!$I$3</c:f>
              <c:strCache>
                <c:ptCount val="1"/>
                <c:pt idx="0">
                  <c:v>Avg Revenue</c:v>
                </c:pt>
              </c:strCache>
            </c:strRef>
          </c:tx>
          <c:spPr>
            <a:solidFill>
              <a:schemeClr val="accent6"/>
            </a:solidFill>
            <a:ln>
              <a:noFill/>
            </a:ln>
            <a:effectLst/>
            <a:sp3d/>
          </c:spPr>
          <c:invertIfNegative val="0"/>
          <c:cat>
            <c:strRef>
              <c:f>Pivots2!$H$4:$H$8</c:f>
              <c:strCache>
                <c:ptCount val="4"/>
                <c:pt idx="0">
                  <c:v>High </c:v>
                </c:pt>
                <c:pt idx="1">
                  <c:v>Low </c:v>
                </c:pt>
                <c:pt idx="2">
                  <c:v>Medium </c:v>
                </c:pt>
                <c:pt idx="3">
                  <c:v>No_Discount </c:v>
                </c:pt>
              </c:strCache>
            </c:strRef>
          </c:cat>
          <c:val>
            <c:numRef>
              <c:f>Pivots2!$I$4:$I$8</c:f>
              <c:numCache>
                <c:formatCode>_(* #,##0.00_);_(* \(#,##0.00\);_(* "-"??_);_(@_)</c:formatCode>
                <c:ptCount val="4"/>
                <c:pt idx="0">
                  <c:v>7014.1237499999997</c:v>
                </c:pt>
                <c:pt idx="1">
                  <c:v>7178.3855200000007</c:v>
                </c:pt>
                <c:pt idx="2">
                  <c:v>6130.6592805755408</c:v>
                </c:pt>
                <c:pt idx="3">
                  <c:v>6773.2983193277378</c:v>
                </c:pt>
              </c:numCache>
            </c:numRef>
          </c:val>
          <c:extLst>
            <c:ext xmlns:c16="http://schemas.microsoft.com/office/drawing/2014/chart" uri="{C3380CC4-5D6E-409C-BE32-E72D297353CC}">
              <c16:uniqueId val="{00000001-5946-442A-9F25-76E568199E80}"/>
            </c:ext>
          </c:extLst>
        </c:ser>
        <c:dLbls>
          <c:showLegendKey val="0"/>
          <c:showVal val="0"/>
          <c:showCatName val="0"/>
          <c:showSerName val="0"/>
          <c:showPercent val="0"/>
          <c:showBubbleSize val="0"/>
        </c:dLbls>
        <c:gapWidth val="219"/>
        <c:shape val="box"/>
        <c:axId val="755183023"/>
        <c:axId val="1918626943"/>
        <c:axId val="0"/>
      </c:bar3DChart>
      <c:catAx>
        <c:axId val="20488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 Band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879"/>
        <c:crosses val="autoZero"/>
        <c:auto val="1"/>
        <c:lblAlgn val="ctr"/>
        <c:lblOffset val="100"/>
        <c:noMultiLvlLbl val="0"/>
      </c:catAx>
      <c:valAx>
        <c:axId val="204888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Revenue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399"/>
        <c:crosses val="autoZero"/>
        <c:crossBetween val="between"/>
      </c:valAx>
      <c:valAx>
        <c:axId val="191862694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183023"/>
        <c:crosses val="max"/>
        <c:crossBetween val="between"/>
      </c:valAx>
      <c:catAx>
        <c:axId val="755183023"/>
        <c:scaling>
          <c:orientation val="minMax"/>
        </c:scaling>
        <c:delete val="1"/>
        <c:axPos val="b"/>
        <c:numFmt formatCode="General" sourceLinked="1"/>
        <c:majorTickMark val="out"/>
        <c:minorTickMark val="none"/>
        <c:tickLblPos val="nextTo"/>
        <c:crossAx val="191862694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[Tech_Sales_Data2.xlsx]Pivots!PivotTable8</c:name>
    <c:fmtId val="2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Sales_Rep</a:t>
            </a:r>
            <a:r>
              <a:rPr lang="en-US" b="1" baseline="0"/>
              <a:t> Performance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Pivots!$B$53</c:f>
              <c:strCache>
                <c:ptCount val="1"/>
                <c:pt idx="0">
                  <c:v>Avg Revenue</c:v>
                </c:pt>
              </c:strCache>
            </c:strRef>
          </c:tx>
          <c:spPr>
            <a:solidFill>
              <a:schemeClr val="accent1"/>
            </a:solidFill>
            <a:ln>
              <a:noFill/>
            </a:ln>
            <a:effectLst/>
            <a:sp3d/>
          </c:spPr>
          <c:invertIfNegative val="0"/>
          <c:cat>
            <c:strRef>
              <c:f>Pivots!$A$54:$A$65</c:f>
              <c:strCache>
                <c:ptCount val="11"/>
                <c:pt idx="0">
                  <c:v>Maria Santos</c:v>
                </c:pt>
                <c:pt idx="1">
                  <c:v>Linda Nguyen</c:v>
                </c:pt>
                <c:pt idx="2">
                  <c:v>David Chen</c:v>
                </c:pt>
                <c:pt idx="3">
                  <c:v>Emily Johnson</c:v>
                </c:pt>
                <c:pt idx="4">
                  <c:v>Aisha Mensah</c:v>
                </c:pt>
                <c:pt idx="5">
                  <c:v>James Okafor</c:v>
                </c:pt>
                <c:pt idx="6">
                  <c:v>Kevin Patel</c:v>
                </c:pt>
                <c:pt idx="7">
                  <c:v>Carlos Rivera</c:v>
                </c:pt>
                <c:pt idx="8">
                  <c:v>Tom Baker</c:v>
                </c:pt>
                <c:pt idx="9">
                  <c:v>Sarah Williams</c:v>
                </c:pt>
                <c:pt idx="10">
                  <c:v>Unknown Rep</c:v>
                </c:pt>
              </c:strCache>
            </c:strRef>
          </c:cat>
          <c:val>
            <c:numRef>
              <c:f>Pivots!$B$54:$B$65</c:f>
              <c:numCache>
                <c:formatCode>_(* #,##0.00_);_(* \(#,##0.00\);_(* "-"??_);_(@_)</c:formatCode>
                <c:ptCount val="11"/>
                <c:pt idx="0">
                  <c:v>7356.7906153846143</c:v>
                </c:pt>
                <c:pt idx="1">
                  <c:v>7619.724166666666</c:v>
                </c:pt>
                <c:pt idx="2">
                  <c:v>7408.0291836734696</c:v>
                </c:pt>
                <c:pt idx="3">
                  <c:v>6086.7587499999991</c:v>
                </c:pt>
                <c:pt idx="4">
                  <c:v>7404.5662222222218</c:v>
                </c:pt>
                <c:pt idx="5">
                  <c:v>7163.8053658536592</c:v>
                </c:pt>
                <c:pt idx="6">
                  <c:v>6250.6393333333335</c:v>
                </c:pt>
                <c:pt idx="7">
                  <c:v>5961.9823404255312</c:v>
                </c:pt>
                <c:pt idx="8">
                  <c:v>5268.9077551020418</c:v>
                </c:pt>
                <c:pt idx="9">
                  <c:v>6502.7363157894742</c:v>
                </c:pt>
                <c:pt idx="10">
                  <c:v>5646.4773333333333</c:v>
                </c:pt>
              </c:numCache>
            </c:numRef>
          </c:val>
          <c:extLst>
            <c:ext xmlns:c16="http://schemas.microsoft.com/office/drawing/2014/chart" uri="{C3380CC4-5D6E-409C-BE32-E72D297353CC}">
              <c16:uniqueId val="{00000000-727D-48F4-8C3F-C3349497001C}"/>
            </c:ext>
          </c:extLst>
        </c:ser>
        <c:ser>
          <c:idx val="1"/>
          <c:order val="1"/>
          <c:tx>
            <c:strRef>
              <c:f>Pivots!$C$53</c:f>
              <c:strCache>
                <c:ptCount val="1"/>
                <c:pt idx="0">
                  <c:v>Count of Order_ID</c:v>
                </c:pt>
              </c:strCache>
            </c:strRef>
          </c:tx>
          <c:spPr>
            <a:solidFill>
              <a:schemeClr val="accent2"/>
            </a:solidFill>
            <a:ln>
              <a:noFill/>
            </a:ln>
            <a:effectLst/>
            <a:sp3d/>
          </c:spPr>
          <c:invertIfNegative val="0"/>
          <c:cat>
            <c:strRef>
              <c:f>Pivots!$A$54:$A$65</c:f>
              <c:strCache>
                <c:ptCount val="11"/>
                <c:pt idx="0">
                  <c:v>Maria Santos</c:v>
                </c:pt>
                <c:pt idx="1">
                  <c:v>Linda Nguyen</c:v>
                </c:pt>
                <c:pt idx="2">
                  <c:v>David Chen</c:v>
                </c:pt>
                <c:pt idx="3">
                  <c:v>Emily Johnson</c:v>
                </c:pt>
                <c:pt idx="4">
                  <c:v>Aisha Mensah</c:v>
                </c:pt>
                <c:pt idx="5">
                  <c:v>James Okafor</c:v>
                </c:pt>
                <c:pt idx="6">
                  <c:v>Kevin Patel</c:v>
                </c:pt>
                <c:pt idx="7">
                  <c:v>Carlos Rivera</c:v>
                </c:pt>
                <c:pt idx="8">
                  <c:v>Tom Baker</c:v>
                </c:pt>
                <c:pt idx="9">
                  <c:v>Sarah Williams</c:v>
                </c:pt>
                <c:pt idx="10">
                  <c:v>Unknown Rep</c:v>
                </c:pt>
              </c:strCache>
            </c:strRef>
          </c:cat>
          <c:val>
            <c:numRef>
              <c:f>Pivots!$C$54:$C$65</c:f>
              <c:numCache>
                <c:formatCode>General</c:formatCode>
                <c:ptCount val="11"/>
                <c:pt idx="0">
                  <c:v>65</c:v>
                </c:pt>
                <c:pt idx="1">
                  <c:v>60</c:v>
                </c:pt>
                <c:pt idx="2">
                  <c:v>49</c:v>
                </c:pt>
                <c:pt idx="3">
                  <c:v>56</c:v>
                </c:pt>
                <c:pt idx="4">
                  <c:v>45</c:v>
                </c:pt>
                <c:pt idx="5">
                  <c:v>41</c:v>
                </c:pt>
                <c:pt idx="6">
                  <c:v>45</c:v>
                </c:pt>
                <c:pt idx="7">
                  <c:v>47</c:v>
                </c:pt>
                <c:pt idx="8">
                  <c:v>49</c:v>
                </c:pt>
                <c:pt idx="9">
                  <c:v>38</c:v>
                </c:pt>
                <c:pt idx="10">
                  <c:v>15</c:v>
                </c:pt>
              </c:numCache>
            </c:numRef>
          </c:val>
          <c:extLst>
            <c:ext xmlns:c16="http://schemas.microsoft.com/office/drawing/2014/chart" uri="{C3380CC4-5D6E-409C-BE32-E72D297353CC}">
              <c16:uniqueId val="{00000001-727D-48F4-8C3F-C3349497001C}"/>
            </c:ext>
          </c:extLst>
        </c:ser>
        <c:ser>
          <c:idx val="2"/>
          <c:order val="2"/>
          <c:tx>
            <c:strRef>
              <c:f>Pivots!$D$53</c:f>
              <c:strCache>
                <c:ptCount val="1"/>
                <c:pt idx="0">
                  <c:v>Total Revenue</c:v>
                </c:pt>
              </c:strCache>
            </c:strRef>
          </c:tx>
          <c:spPr>
            <a:solidFill>
              <a:schemeClr val="accent3"/>
            </a:solidFill>
            <a:ln>
              <a:noFill/>
            </a:ln>
            <a:effectLst/>
            <a:sp3d/>
          </c:spPr>
          <c:invertIfNegative val="0"/>
          <c:cat>
            <c:strRef>
              <c:f>Pivots!$A$54:$A$65</c:f>
              <c:strCache>
                <c:ptCount val="11"/>
                <c:pt idx="0">
                  <c:v>Maria Santos</c:v>
                </c:pt>
                <c:pt idx="1">
                  <c:v>Linda Nguyen</c:v>
                </c:pt>
                <c:pt idx="2">
                  <c:v>David Chen</c:v>
                </c:pt>
                <c:pt idx="3">
                  <c:v>Emily Johnson</c:v>
                </c:pt>
                <c:pt idx="4">
                  <c:v>Aisha Mensah</c:v>
                </c:pt>
                <c:pt idx="5">
                  <c:v>James Okafor</c:v>
                </c:pt>
                <c:pt idx="6">
                  <c:v>Kevin Patel</c:v>
                </c:pt>
                <c:pt idx="7">
                  <c:v>Carlos Rivera</c:v>
                </c:pt>
                <c:pt idx="8">
                  <c:v>Tom Baker</c:v>
                </c:pt>
                <c:pt idx="9">
                  <c:v>Sarah Williams</c:v>
                </c:pt>
                <c:pt idx="10">
                  <c:v>Unknown Rep</c:v>
                </c:pt>
              </c:strCache>
            </c:strRef>
          </c:cat>
          <c:val>
            <c:numRef>
              <c:f>Pivots!$D$54:$D$65</c:f>
              <c:numCache>
                <c:formatCode>_(* #,##0.00_);_(* \(#,##0.00\);_(* "-"??_);_(@_)</c:formatCode>
                <c:ptCount val="11"/>
                <c:pt idx="0">
                  <c:v>478191.38999999996</c:v>
                </c:pt>
                <c:pt idx="1">
                  <c:v>457183.44999999995</c:v>
                </c:pt>
                <c:pt idx="2">
                  <c:v>362993.43</c:v>
                </c:pt>
                <c:pt idx="3">
                  <c:v>340858.48999999993</c:v>
                </c:pt>
                <c:pt idx="4">
                  <c:v>333205.48</c:v>
                </c:pt>
                <c:pt idx="5">
                  <c:v>293716.02</c:v>
                </c:pt>
                <c:pt idx="6">
                  <c:v>281278.77</c:v>
                </c:pt>
                <c:pt idx="7">
                  <c:v>280213.17</c:v>
                </c:pt>
                <c:pt idx="8">
                  <c:v>258176.48000000004</c:v>
                </c:pt>
                <c:pt idx="9">
                  <c:v>247103.98</c:v>
                </c:pt>
                <c:pt idx="10">
                  <c:v>84697.16</c:v>
                </c:pt>
              </c:numCache>
            </c:numRef>
          </c:val>
          <c:extLst>
            <c:ext xmlns:c16="http://schemas.microsoft.com/office/drawing/2014/chart" uri="{C3380CC4-5D6E-409C-BE32-E72D297353CC}">
              <c16:uniqueId val="{00000002-727D-48F4-8C3F-C3349497001C}"/>
            </c:ext>
          </c:extLst>
        </c:ser>
        <c:dLbls>
          <c:showLegendKey val="0"/>
          <c:showVal val="0"/>
          <c:showCatName val="0"/>
          <c:showSerName val="0"/>
          <c:showPercent val="0"/>
          <c:showBubbleSize val="0"/>
        </c:dLbls>
        <c:gapWidth val="150"/>
        <c:shape val="box"/>
        <c:axId val="109045359"/>
        <c:axId val="109044399"/>
        <c:axId val="0"/>
      </c:bar3DChart>
      <c:catAx>
        <c:axId val="109045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44399"/>
        <c:crosses val="autoZero"/>
        <c:auto val="1"/>
        <c:lblAlgn val="ctr"/>
        <c:lblOffset val="100"/>
        <c:noMultiLvlLbl val="0"/>
      </c:catAx>
      <c:valAx>
        <c:axId val="109044399"/>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4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0</xdr:rowOff>
    </xdr:from>
    <xdr:to>
      <xdr:col>5</xdr:col>
      <xdr:colOff>504825</xdr:colOff>
      <xdr:row>12</xdr:row>
      <xdr:rowOff>0</xdr:rowOff>
    </xdr:to>
    <xdr:graphicFrame macro="">
      <xdr:nvGraphicFramePr>
        <xdr:cNvPr id="6" name="Chart 5">
          <a:extLst>
            <a:ext uri="{FF2B5EF4-FFF2-40B4-BE49-F238E27FC236}">
              <a16:creationId xmlns:a16="http://schemas.microsoft.com/office/drawing/2014/main" id="{BF0A46B4-0377-4562-8F7B-1ABA21200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11</xdr:row>
      <xdr:rowOff>9525</xdr:rowOff>
    </xdr:from>
    <xdr:to>
      <xdr:col>5</xdr:col>
      <xdr:colOff>76199</xdr:colOff>
      <xdr:row>22</xdr:row>
      <xdr:rowOff>0</xdr:rowOff>
    </xdr:to>
    <xdr:graphicFrame macro="">
      <xdr:nvGraphicFramePr>
        <xdr:cNvPr id="3" name="Chart 2">
          <a:extLst>
            <a:ext uri="{FF2B5EF4-FFF2-40B4-BE49-F238E27FC236}">
              <a16:creationId xmlns:a16="http://schemas.microsoft.com/office/drawing/2014/main" id="{EEB85D24-2726-4FF2-BE3A-A206E4669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390526</xdr:colOff>
      <xdr:row>11</xdr:row>
      <xdr:rowOff>19050</xdr:rowOff>
    </xdr:from>
    <xdr:to>
      <xdr:col>10</xdr:col>
      <xdr:colOff>476250</xdr:colOff>
      <xdr:row>22</xdr:row>
      <xdr:rowOff>0</xdr:rowOff>
    </xdr:to>
    <xdr:graphicFrame macro="">
      <xdr:nvGraphicFramePr>
        <xdr:cNvPr id="4" name="Chart 3">
          <a:extLst>
            <a:ext uri="{FF2B5EF4-FFF2-40B4-BE49-F238E27FC236}">
              <a16:creationId xmlns:a16="http://schemas.microsoft.com/office/drawing/2014/main" id="{83EE97F6-DECA-4D55-A0C5-C0279E472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104775</xdr:colOff>
      <xdr:row>25</xdr:row>
      <xdr:rowOff>9524</xdr:rowOff>
    </xdr:from>
    <xdr:to>
      <xdr:col>5</xdr:col>
      <xdr:colOff>390525</xdr:colOff>
      <xdr:row>36</xdr:row>
      <xdr:rowOff>161925</xdr:rowOff>
    </xdr:to>
    <xdr:graphicFrame macro="">
      <xdr:nvGraphicFramePr>
        <xdr:cNvPr id="7" name="Chart 6">
          <a:extLst>
            <a:ext uri="{FF2B5EF4-FFF2-40B4-BE49-F238E27FC236}">
              <a16:creationId xmlns:a16="http://schemas.microsoft.com/office/drawing/2014/main" id="{E489337C-6097-42DE-91A5-C79687BF8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561974</xdr:colOff>
      <xdr:row>24</xdr:row>
      <xdr:rowOff>190499</xdr:rowOff>
    </xdr:from>
    <xdr:to>
      <xdr:col>11</xdr:col>
      <xdr:colOff>257175</xdr:colOff>
      <xdr:row>36</xdr:row>
      <xdr:rowOff>157162</xdr:rowOff>
    </xdr:to>
    <xdr:graphicFrame macro="">
      <xdr:nvGraphicFramePr>
        <xdr:cNvPr id="8" name="Chart 7">
          <a:extLst>
            <a:ext uri="{FF2B5EF4-FFF2-40B4-BE49-F238E27FC236}">
              <a16:creationId xmlns:a16="http://schemas.microsoft.com/office/drawing/2014/main" id="{7DB814B6-F3F1-41C6-B372-CFC40616A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142875</xdr:colOff>
      <xdr:row>11</xdr:row>
      <xdr:rowOff>9525</xdr:rowOff>
    </xdr:from>
    <xdr:to>
      <xdr:col>16</xdr:col>
      <xdr:colOff>390525</xdr:colOff>
      <xdr:row>21</xdr:row>
      <xdr:rowOff>180975</xdr:rowOff>
    </xdr:to>
    <xdr:graphicFrame macro="">
      <xdr:nvGraphicFramePr>
        <xdr:cNvPr id="9" name="Chart 8">
          <a:extLst>
            <a:ext uri="{FF2B5EF4-FFF2-40B4-BE49-F238E27FC236}">
              <a16:creationId xmlns:a16="http://schemas.microsoft.com/office/drawing/2014/main" id="{D6DE46E3-38FE-4D59-916A-B704FC512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457200</xdr:colOff>
      <xdr:row>24</xdr:row>
      <xdr:rowOff>171451</xdr:rowOff>
    </xdr:from>
    <xdr:to>
      <xdr:col>16</xdr:col>
      <xdr:colOff>380999</xdr:colOff>
      <xdr:row>36</xdr:row>
      <xdr:rowOff>114301</xdr:rowOff>
    </xdr:to>
    <xdr:graphicFrame macro="">
      <xdr:nvGraphicFramePr>
        <xdr:cNvPr id="10" name="Chart 9">
          <a:extLst>
            <a:ext uri="{FF2B5EF4-FFF2-40B4-BE49-F238E27FC236}">
              <a16:creationId xmlns:a16="http://schemas.microsoft.com/office/drawing/2014/main" id="{F88AB079-E780-48BC-8EA6-1174BA370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66675</xdr:colOff>
      <xdr:row>7</xdr:row>
      <xdr:rowOff>238125</xdr:rowOff>
    </xdr:from>
    <xdr:to>
      <xdr:col>5</xdr:col>
      <xdr:colOff>314325</xdr:colOff>
      <xdr:row>9</xdr:row>
      <xdr:rowOff>276225</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80E794B2-2A52-4AA8-B151-E78AF6D5176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895475" y="1762125"/>
              <a:ext cx="1466850" cy="62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95250</xdr:colOff>
      <xdr:row>7</xdr:row>
      <xdr:rowOff>285751</xdr:rowOff>
    </xdr:from>
    <xdr:to>
      <xdr:col>9</xdr:col>
      <xdr:colOff>238125</xdr:colOff>
      <xdr:row>10</xdr:row>
      <xdr:rowOff>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FEE49CDB-18A7-4472-B9B0-21F51E94BFB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62450" y="1809751"/>
              <a:ext cx="1362075" cy="600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8</xdr:row>
      <xdr:rowOff>9525</xdr:rowOff>
    </xdr:from>
    <xdr:to>
      <xdr:col>13</xdr:col>
      <xdr:colOff>142875</xdr:colOff>
      <xdr:row>9</xdr:row>
      <xdr:rowOff>285750</xdr:rowOff>
    </xdr:to>
    <mc:AlternateContent xmlns:mc="http://schemas.openxmlformats.org/markup-compatibility/2006" xmlns:a14="http://schemas.microsoft.com/office/drawing/2010/main">
      <mc:Choice Requires="a14">
        <xdr:graphicFrame macro="">
          <xdr:nvGraphicFramePr>
            <xdr:cNvPr id="17" name="Sales_Rep">
              <a:extLst>
                <a:ext uri="{FF2B5EF4-FFF2-40B4-BE49-F238E27FC236}">
                  <a16:creationId xmlns:a16="http://schemas.microsoft.com/office/drawing/2014/main" id="{1EA956EA-E770-4190-8C85-120517BF21A2}"/>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6743700" y="1828800"/>
              <a:ext cx="1323975" cy="57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129.616802662036" createdVersion="8" refreshedVersion="8" minRefreshableVersion="3" recordCount="510" xr:uid="{F8C05B18-AA80-4C67-BD40-A947F9672ED9}">
  <cacheSource type="worksheet">
    <worksheetSource name="Tech_Sales_Data"/>
  </cacheSource>
  <cacheFields count="14">
    <cacheField name="Order_ID" numFmtId="0">
      <sharedItems/>
    </cacheField>
    <cacheField name="Date" numFmtId="14">
      <sharedItems containsSemiMixedTypes="0" containsNonDate="0" containsDate="1" containsString="0" minDate="2023-01-03T00:00:00" maxDate="2024-01-01T00:00:00" count="274">
        <d v="2023-12-03T00:00:00"/>
        <d v="2023-09-09T00:00:00"/>
        <d v="2023-09-01T00:00:00"/>
        <d v="2023-05-17T00:00:00"/>
        <d v="2023-08-03T00:00:00"/>
        <d v="2023-11-11T00:00:00"/>
        <d v="2023-07-07T00:00:00"/>
        <d v="2023-03-16T00:00:00"/>
        <d v="2023-01-09T00:00:00"/>
        <d v="2023-10-03T00:00:00"/>
        <d v="2023-08-19T00:00:00"/>
        <d v="2023-07-18T00:00:00"/>
        <d v="2023-01-05T00:00:00"/>
        <d v="2023-12-15T00:00:00"/>
        <d v="2023-09-03T00:00:00"/>
        <d v="2023-09-11T00:00:00"/>
        <d v="2023-07-20T00:00:00"/>
        <d v="2023-12-14T00:00:00"/>
        <d v="2023-07-13T00:00:00"/>
        <d v="2023-05-04T00:00:00"/>
        <d v="2023-02-28T00:00:00"/>
        <d v="2023-03-20T00:00:00"/>
        <d v="2023-06-10T00:00:00"/>
        <d v="2023-10-13T00:00:00"/>
        <d v="2023-02-15T00:00:00"/>
        <d v="2023-08-16T00:00:00"/>
        <d v="2023-09-14T00:00:00"/>
        <d v="2023-12-22T00:00:00"/>
        <d v="2023-08-08T00:00:00"/>
        <d v="2023-10-16T00:00:00"/>
        <d v="2023-07-29T00:00:00"/>
        <d v="2023-08-12T00:00:00"/>
        <d v="2023-03-15T00:00:00"/>
        <d v="2023-11-01T00:00:00"/>
        <d v="2023-02-12T00:00:00"/>
        <d v="2023-10-14T00:00:00"/>
        <d v="2023-06-05T00:00:00"/>
        <d v="2023-06-25T00:00:00"/>
        <d v="2023-12-29T00:00:00"/>
        <d v="2023-04-29T00:00:00"/>
        <d v="2023-08-25T00:00:00"/>
        <d v="2023-04-06T00:00:00"/>
        <d v="2023-10-17T00:00:00"/>
        <d v="2023-05-05T00:00:00"/>
        <d v="2023-06-28T00:00:00"/>
        <d v="2023-07-22T00:00:00"/>
        <d v="2023-01-07T00:00:00"/>
        <d v="2023-01-03T00:00:00"/>
        <d v="2023-12-19T00:00:00"/>
        <d v="2023-02-25T00:00:00"/>
        <d v="2023-05-03T00:00:00"/>
        <d v="2023-09-19T00:00:00"/>
        <d v="2023-02-24T00:00:00"/>
        <d v="2023-08-10T00:00:00"/>
        <d v="2023-06-01T00:00:00"/>
        <d v="2023-05-21T00:00:00"/>
        <d v="2023-12-21T00:00:00"/>
        <d v="2023-12-11T00:00:00"/>
        <d v="2023-02-14T00:00:00"/>
        <d v="2023-06-26T00:00:00"/>
        <d v="2023-03-08T00:00:00"/>
        <d v="2023-03-28T00:00:00"/>
        <d v="2023-12-30T00:00:00"/>
        <d v="2023-03-12T00:00:00"/>
        <d v="2023-09-24T00:00:00"/>
        <d v="2023-01-04T00:00:00"/>
        <d v="2023-03-13T00:00:00"/>
        <d v="2023-01-28T00:00:00"/>
        <d v="2023-03-30T00:00:00"/>
        <d v="2023-08-13T00:00:00"/>
        <d v="2023-08-17T00:00:00"/>
        <d v="2023-07-27T00:00:00"/>
        <d v="2023-04-26T00:00:00"/>
        <d v="2023-12-13T00:00:00"/>
        <d v="2023-07-14T00:00:00"/>
        <d v="2023-10-18T00:00:00"/>
        <d v="2023-10-05T00:00:00"/>
        <d v="2023-07-04T00:00:00"/>
        <d v="2023-09-13T00:00:00"/>
        <d v="2023-04-18T00:00:00"/>
        <d v="2023-02-08T00:00:00"/>
        <d v="2023-10-09T00:00:00"/>
        <d v="2023-02-04T00:00:00"/>
        <d v="2023-05-24T00:00:00"/>
        <d v="2023-12-27T00:00:00"/>
        <d v="2023-10-26T00:00:00"/>
        <d v="2023-10-29T00:00:00"/>
        <d v="2023-12-28T00:00:00"/>
        <d v="2023-06-19T00:00:00"/>
        <d v="2023-04-03T00:00:00"/>
        <d v="2023-01-12T00:00:00"/>
        <d v="2023-09-16T00:00:00"/>
        <d v="2023-08-09T00:00:00"/>
        <d v="2023-03-25T00:00:00"/>
        <d v="2023-09-08T00:00:00"/>
        <d v="2023-02-13T00:00:00"/>
        <d v="2023-08-18T00:00:00"/>
        <d v="2023-04-19T00:00:00"/>
        <d v="2023-09-23T00:00:00"/>
        <d v="2023-07-23T00:00:00"/>
        <d v="2023-12-23T00:00:00"/>
        <d v="2023-10-22T00:00:00"/>
        <d v="2023-11-13T00:00:00"/>
        <d v="2023-02-22T00:00:00"/>
        <d v="2023-05-15T00:00:00"/>
        <d v="2023-10-06T00:00:00"/>
        <d v="2023-12-17T00:00:00"/>
        <d v="2023-05-08T00:00:00"/>
        <d v="2023-01-16T00:00:00"/>
        <d v="2023-04-24T00:00:00"/>
        <d v="2023-06-03T00:00:00"/>
        <d v="2023-10-04T00:00:00"/>
        <d v="2023-01-17T00:00:00"/>
        <d v="2023-11-22T00:00:00"/>
        <d v="2023-11-24T00:00:00"/>
        <d v="2023-11-27T00:00:00"/>
        <d v="2023-08-23T00:00:00"/>
        <d v="2023-04-11T00:00:00"/>
        <d v="2023-05-12T00:00:00"/>
        <d v="2023-02-10T00:00:00"/>
        <d v="2023-01-14T00:00:00"/>
        <d v="2023-11-12T00:00:00"/>
        <d v="2023-02-16T00:00:00"/>
        <d v="2023-10-02T00:00:00"/>
        <d v="2023-08-22T00:00:00"/>
        <d v="2023-01-08T00:00:00"/>
        <d v="2023-05-30T00:00:00"/>
        <d v="2023-10-20T00:00:00"/>
        <d v="2023-06-02T00:00:00"/>
        <d v="2023-06-11T00:00:00"/>
        <d v="2023-07-16T00:00:00"/>
        <d v="2023-12-01T00:00:00"/>
        <d v="2023-12-26T00:00:00"/>
        <d v="2023-03-27T00:00:00"/>
        <d v="2023-11-10T00:00:00"/>
        <d v="2023-04-17T00:00:00"/>
        <d v="2023-06-06T00:00:00"/>
        <d v="2023-10-01T00:00:00"/>
        <d v="2023-01-06T00:00:00"/>
        <d v="2023-06-16T00:00:00"/>
        <d v="2023-11-21T00:00:00"/>
        <d v="2023-02-27T00:00:00"/>
        <d v="2023-07-01T00:00:00"/>
        <d v="2023-03-14T00:00:00"/>
        <d v="2023-02-18T00:00:00"/>
        <d v="2023-06-27T00:00:00"/>
        <d v="2023-11-07T00:00:00"/>
        <d v="2023-12-10T00:00:00"/>
        <d v="2023-08-14T00:00:00"/>
        <d v="2023-07-02T00:00:00"/>
        <d v="2023-04-12T00:00:00"/>
        <d v="2023-07-11T00:00:00"/>
        <d v="2023-08-02T00:00:00"/>
        <d v="2023-02-20T00:00:00"/>
        <d v="2023-03-11T00:00:00"/>
        <d v="2023-03-31T00:00:00"/>
        <d v="2023-02-02T00:00:00"/>
        <d v="2023-06-04T00:00:00"/>
        <d v="2023-07-31T00:00:00"/>
        <d v="2023-04-07T00:00:00"/>
        <d v="2023-07-19T00:00:00"/>
        <d v="2023-02-05T00:00:00"/>
        <d v="2023-11-23T00:00:00"/>
        <d v="2023-10-10T00:00:00"/>
        <d v="2023-08-24T00:00:00"/>
        <d v="2023-05-22T00:00:00"/>
        <d v="2023-09-28T00:00:00"/>
        <d v="2023-01-24T00:00:00"/>
        <d v="2023-11-02T00:00:00"/>
        <d v="2023-08-05T00:00:00"/>
        <d v="2023-01-15T00:00:00"/>
        <d v="2023-09-02T00:00:00"/>
        <d v="2023-05-07T00:00:00"/>
        <d v="2023-02-17T00:00:00"/>
        <d v="2023-06-14T00:00:00"/>
        <d v="2023-04-20T00:00:00"/>
        <d v="2023-06-17T00:00:00"/>
        <d v="2023-07-17T00:00:00"/>
        <d v="2023-12-31T00:00:00"/>
        <d v="2023-01-23T00:00:00"/>
        <d v="2023-05-18T00:00:00"/>
        <d v="2023-05-13T00:00:00"/>
        <d v="2023-02-23T00:00:00"/>
        <d v="2023-06-08T00:00:00"/>
        <d v="2023-08-07T00:00:00"/>
        <d v="2023-06-12T00:00:00"/>
        <d v="2023-03-10T00:00:00"/>
        <d v="2023-08-04T00:00:00"/>
        <d v="2023-05-28T00:00:00"/>
        <d v="2023-07-12T00:00:00"/>
        <d v="2023-05-10T00:00:00"/>
        <d v="2023-07-28T00:00:00"/>
        <d v="2023-11-19T00:00:00"/>
        <d v="2023-11-14T00:00:00"/>
        <d v="2023-10-23T00:00:00"/>
        <d v="2023-08-11T00:00:00"/>
        <d v="2023-10-07T00:00:00"/>
        <d v="2023-04-13T00:00:00"/>
        <d v="2023-09-20T00:00:00"/>
        <d v="2023-04-16T00:00:00"/>
        <d v="2023-04-09T00:00:00"/>
        <d v="2023-11-29T00:00:00"/>
        <d v="2023-01-19T00:00:00"/>
        <d v="2023-02-07T00:00:00"/>
        <d v="2023-01-22T00:00:00"/>
        <d v="2023-11-05T00:00:00"/>
        <d v="2023-02-19T00:00:00"/>
        <d v="2023-01-11T00:00:00"/>
        <d v="2023-07-05T00:00:00"/>
        <d v="2023-04-02T00:00:00"/>
        <d v="2023-10-28T00:00:00"/>
        <d v="2023-10-31T00:00:00"/>
        <d v="2023-10-25T00:00:00"/>
        <d v="2023-11-28T00:00:00"/>
        <d v="2023-06-18T00:00:00"/>
        <d v="2023-12-20T00:00:00"/>
        <d v="2023-04-23T00:00:00"/>
        <d v="2023-07-21T00:00:00"/>
        <d v="2023-09-17T00:00:00"/>
        <d v="2023-08-20T00:00:00"/>
        <d v="2023-10-15T00:00:00"/>
        <d v="2023-10-11T00:00:00"/>
        <d v="2023-04-28T00:00:00"/>
        <d v="2023-09-26T00:00:00"/>
        <d v="2023-09-10T00:00:00"/>
        <d v="2023-10-30T00:00:00"/>
        <d v="2023-05-19T00:00:00"/>
        <d v="2023-07-06T00:00:00"/>
        <d v="2023-09-06T00:00:00"/>
        <d v="2023-05-09T00:00:00"/>
        <d v="2023-05-20T00:00:00"/>
        <d v="2023-10-12T00:00:00"/>
        <d v="2023-05-23T00:00:00"/>
        <d v="2023-03-09T00:00:00"/>
        <d v="2023-06-07T00:00:00"/>
        <d v="2023-03-29T00:00:00"/>
        <d v="2023-06-13T00:00:00"/>
        <d v="2023-08-26T00:00:00"/>
        <d v="2023-01-29T00:00:00"/>
        <d v="2023-03-19T00:00:00"/>
        <d v="2023-12-07T00:00:00"/>
        <d v="2023-10-27T00:00:00"/>
        <d v="2023-11-09T00:00:00"/>
        <d v="2023-11-30T00:00:00"/>
        <d v="2023-07-24T00:00:00"/>
        <d v="2023-10-21T00:00:00"/>
        <d v="2023-03-02T00:00:00"/>
        <d v="2023-04-05T00:00:00"/>
        <d v="2023-02-11T00:00:00"/>
        <d v="2023-12-16T00:00:00"/>
        <d v="2023-09-27T00:00:00"/>
        <d v="2023-02-09T00:00:00"/>
        <d v="2023-06-24T00:00:00"/>
        <d v="2023-04-04T00:00:00"/>
        <d v="2023-11-03T00:00:00"/>
        <d v="2023-04-22T00:00:00"/>
        <d v="2023-03-26T00:00:00"/>
        <d v="2023-07-25T00:00:00"/>
        <d v="2023-06-21T00:00:00"/>
        <d v="2023-04-10T00:00:00"/>
        <d v="2023-12-04T00:00:00"/>
        <d v="2023-09-05T00:00:00"/>
        <d v="2023-07-03T00:00:00"/>
        <d v="2023-03-18T00:00:00"/>
        <d v="2023-01-13T00:00:00"/>
        <d v="2023-12-12T00:00:00"/>
        <d v="2023-09-07T00:00:00"/>
        <d v="2023-09-22T00:00:00"/>
        <d v="2023-03-06T00:00:00"/>
        <d v="2023-06-30T00:00:00"/>
        <d v="2023-11-17T00:00:00"/>
        <d v="2023-03-23T00:00:00"/>
        <d v="2023-04-27T00:00:00"/>
        <d v="2023-06-20T00:00:00"/>
      </sharedItems>
      <fieldGroup par="13"/>
    </cacheField>
    <cacheField name="Customer_ID" numFmtId="0">
      <sharedItems count="319">
        <s v="CUST-1315"/>
        <s v="CUST-1080"/>
        <s v="CUST-1088"/>
        <s v="CUST-1312"/>
        <s v="CUST-1085"/>
        <s v="CUST-1061"/>
        <s v="UNKNOWN ID"/>
        <s v="CUST-1462"/>
        <s v="CUST-1389"/>
        <s v="CUST-1439"/>
        <s v="CUST-1213"/>
        <s v="CUST-1132"/>
        <s v="CUST-1039"/>
        <s v="CUST-1183"/>
        <s v="CUST-1063"/>
        <s v="CUST-1290"/>
        <s v="CUST-1253"/>
        <s v="CUST-1057"/>
        <s v="CUST-1165"/>
        <s v="CUST-1351"/>
        <s v="CUST-1091"/>
        <s v="CUST-1145"/>
        <s v="CUST-1005"/>
        <s v="CUST-1330"/>
        <s v="CUST-1052"/>
        <s v="CUST-1326"/>
        <s v="CUST-1104"/>
        <s v="CUST-1364"/>
        <s v="CUST-1068"/>
        <s v="CUST-1479"/>
        <s v="CUST-1201"/>
        <s v="CUST-1422"/>
        <s v="CUST-1392"/>
        <s v="CUST-1067"/>
        <s v="CUST-1429"/>
        <s v="CUST-1332"/>
        <s v="CUST-1449"/>
        <s v="CUST-1216"/>
        <s v="CUST-1023"/>
        <s v="CUST-1375"/>
        <s v="CUST-1370"/>
        <s v="CUST-1203"/>
        <s v="CUST-1349"/>
        <s v="CUST-1142"/>
        <s v="CUST-1352"/>
        <s v="CUST-1413"/>
        <s v="CUST-1401"/>
        <s v="CUST-1283"/>
        <s v="CUST-1254"/>
        <s v="CUST-1200"/>
        <s v="CUST-1265"/>
        <s v="CUST-1078"/>
        <s v="CUST-1111"/>
        <s v="CUST-1001"/>
        <s v="CUST-1070"/>
        <s v="CUST-1163"/>
        <s v="CUST-1036"/>
        <s v="CUST-1074"/>
        <s v="CUST-1219"/>
        <s v="CUST-1448"/>
        <s v="CUST-1395"/>
        <s v="CUST-1064"/>
        <s v="CUST-1403"/>
        <s v="CUST-1187"/>
        <s v="CUST-1045"/>
        <s v="CUST-1393"/>
        <s v="CUST-1295"/>
        <s v="CUST-1015"/>
        <s v="CUST-1225"/>
        <s v="CUST-1184"/>
        <s v="CUST-1488"/>
        <s v="CUST-1275"/>
        <s v="CUST-1105"/>
        <s v="CUST-1485"/>
        <s v="CUST-1086"/>
        <s v="CUST-1447"/>
        <s v="CUST-1141"/>
        <s v="CUST-1018"/>
        <s v="CUST-1071"/>
        <s v="CUST-1077"/>
        <s v="CUST-1084"/>
        <s v="CUST-1359"/>
        <s v="CUST-1186"/>
        <s v="CUST-1397"/>
        <s v="CUST-1079"/>
        <s v="CUST-1301"/>
        <s v="CUST-1493"/>
        <s v="CUST-1123"/>
        <s v="CUST-1321"/>
        <s v="CUST-1379"/>
        <s v="CUST-1400"/>
        <s v="CUST-1406"/>
        <s v="CUST-1035"/>
        <s v="CUST-1179"/>
        <s v="CUST-1255"/>
        <s v="CUST-1175"/>
        <s v="CUST-1137"/>
        <s v="CUST-1457"/>
        <s v="CUST-1470"/>
        <s v="CUST-1329"/>
        <s v="CUST-1151"/>
        <s v="CUST-1323"/>
        <s v="CUST-1451"/>
        <s v="CUST-1415"/>
        <s v="CUST-1373"/>
        <s v="CUST-1127"/>
        <s v="CUST-1311"/>
        <s v="CUST-1140"/>
        <s v="CUST-1307"/>
        <s v="CUST-1444"/>
        <s v="CUST-1268"/>
        <s v="CUST-1263"/>
        <s v="CUST-1125"/>
        <s v="CUST-1460"/>
        <s v="CUST-1324"/>
        <s v="CUST-1143"/>
        <s v="CUST-1453"/>
        <s v="CUST-1434"/>
        <s v="CUST-1158"/>
        <s v="CUST-1164"/>
        <s v="CUST-1032"/>
        <s v="CUST-1206"/>
        <s v="CUST-1059"/>
        <s v="CUST-1475"/>
        <s v="CUST-1048"/>
        <s v="CUST-1289"/>
        <s v="CUST-1196"/>
        <s v="CUST-1297"/>
        <s v="CUST-1291"/>
        <s v="CUST-1130"/>
        <s v="CUST-1153"/>
        <s v="CUST-1134"/>
        <s v="CUST-1030"/>
        <s v="CUST-1450"/>
        <s v="CUST-1214"/>
        <s v="CUST-1478"/>
        <s v="CUST-1360"/>
        <s v="CUST-1260"/>
        <s v="CUST-1126"/>
        <s v="CUST-1156"/>
        <s v="CUST-1382"/>
        <s v="CUST-1443"/>
        <s v="CUST-1050"/>
        <s v="CUST-1313"/>
        <s v="CUST-1481"/>
        <s v="CUST-1431"/>
        <s v="CUST-1487"/>
        <s v="CUST-1006"/>
        <s v="CUST-1396"/>
        <s v="CUST-1471"/>
        <s v="CUST-1421"/>
        <s v="CUST-1492"/>
        <s v="CUST-1383"/>
        <s v="CUST-1136"/>
        <s v="CUST-1264"/>
        <s v="CUST-1261"/>
        <s v="CUST-1004"/>
        <s v="CUST-1340"/>
        <s v="CUST-1497"/>
        <s v="CUST-1040"/>
        <s v="CUST-1110"/>
        <s v="CUST-1188"/>
        <s v="CUST-1355"/>
        <s v="CUST-1033"/>
        <s v="CUST-1320"/>
        <s v="CUST-1303"/>
        <s v="CUST-1440"/>
        <s v="CUST-1047"/>
        <s v="CUST-1146"/>
        <s v="CUST-1042"/>
        <s v="CUST-1072"/>
        <s v="CUST-1498"/>
        <s v="CUST-1427"/>
        <s v="CUST-1060"/>
        <s v="CUST-1109"/>
        <s v="CUST-1043"/>
        <s v="CUST-1202"/>
        <s v="CUST-1122"/>
        <s v="CUST-1190"/>
        <s v="CUST-1149"/>
        <s v="CUST-1358"/>
        <s v="CUST-1233"/>
        <s v="CUST-1044"/>
        <s v="CUST-1274"/>
        <s v="CUST-1138"/>
        <s v="CUST-1103"/>
        <s v="CUST-1273"/>
        <s v="CUST-1353"/>
        <s v="CUST-1008"/>
        <s v="CUST-1357"/>
        <s v="CUST-1038"/>
        <s v="CUST-1249"/>
        <s v="CUST-1096"/>
        <s v="CUST-1022"/>
        <s v="CUST-1172"/>
        <s v="CUST-1500"/>
        <s v="CUST-1491"/>
        <s v="CUST-1399"/>
        <s v="CUST-1212"/>
        <s v="CUST-1280"/>
        <s v="CUST-1433"/>
        <s v="CUST-1441"/>
        <s v="CUST-1195"/>
        <s v="CUST-1486"/>
        <s v="CUST-1250"/>
        <s v="CUST-1293"/>
        <s v="CUST-1154"/>
        <s v="CUST-1390"/>
        <s v="CUST-1026"/>
        <s v="CUST-1073"/>
        <s v="CUST-1066"/>
        <s v="CUST-1235"/>
        <s v="CUST-1369"/>
        <s v="CUST-1377"/>
        <s v="CUST-1459"/>
        <s v="CUST-1167"/>
        <s v="CUST-1007"/>
        <s v="CUST-1465"/>
        <s v="CUST-1272"/>
        <s v="CUST-1405"/>
        <s v="CUST-1051"/>
        <s v="CUST-1198"/>
        <s v="CUST-1402"/>
        <s v="CUST-1161"/>
        <s v="CUST-1205"/>
        <s v="CUST-1495"/>
        <s v="CUST-1069"/>
        <s v="CUST-1081"/>
        <s v="CUST-1231"/>
        <s v="CUST-1424"/>
        <s v="CUST-1232"/>
        <s v="CUST-1346"/>
        <s v="CUST-1027"/>
        <s v="CUST-1046"/>
        <s v="CUST-1468"/>
        <s v="CUST-1116"/>
        <s v="CUST-1416"/>
        <s v="CUST-1394"/>
        <s v="CUST-1089"/>
        <s v="CUST-1192"/>
        <s v="CUST-1114"/>
        <s v="CUST-1028"/>
        <s v="CUST-1386"/>
        <s v="CUST-1234"/>
        <s v="CUST-1177"/>
        <s v="CUST-1210"/>
        <s v="CUST-1223"/>
        <s v="CUST-1288"/>
        <s v="CUST-1325"/>
        <s v="CUST-1385"/>
        <s v="CUST-1374"/>
        <s v="CUST-1013"/>
        <s v="CUST-1305"/>
        <s v="CUST-1128"/>
        <s v="CUST-1371"/>
        <s v="CUST-1348"/>
        <s v="CUST-1244"/>
        <s v="CUST-1171"/>
        <s v="CUST-1227"/>
        <s v="CUST-1029"/>
        <s v="CUST-1337"/>
        <s v="CUST-1034"/>
        <s v="CUST-1248"/>
        <s v="CUST-1412"/>
        <s v="CUST-1417"/>
        <s v="CUST-1335"/>
        <s v="CUST-1476"/>
        <s v="CUST-1197"/>
        <s v="CUST-1148"/>
        <s v="CUST-1304"/>
        <s v="CUST-1428"/>
        <s v="CUST-1435"/>
        <s v="CUST-1215"/>
        <s v="CUST-1037"/>
        <s v="CUST-1222"/>
        <s v="CUST-1499"/>
        <s v="CUST-1363"/>
        <s v="CUST-1384"/>
        <s v="CUST-1108"/>
        <s v="CUST-1336"/>
        <s v="CUST-1436"/>
        <s v="CUST-1467"/>
        <s v="CUST-1241"/>
        <s v="CUST-1328"/>
        <s v="CUST-1076"/>
        <s v="CUST-1121"/>
        <s v="CUST-1083"/>
        <s v="CUST-1000"/>
        <s v="CUST-1162"/>
        <s v="CUST-1271"/>
        <s v="CUST-1398"/>
        <s v="CUST-1256"/>
        <s v="CUST-1267"/>
        <s v="CUST-1300"/>
        <s v="CUST-1341"/>
        <s v="CUST-1365"/>
        <s v="CUST-1020"/>
        <s v="CUST-1368"/>
        <s v="CUST-1115"/>
        <s v="CUST-1404"/>
        <s v="CUST-1024"/>
        <s v="CUST-1345"/>
        <s v="CUST-1356"/>
        <s v="CUST-1310"/>
        <s v="CUST-1407"/>
        <s v="CUST-1139"/>
        <s v="CUST-1119"/>
        <s v="CUST-1490"/>
        <s v="CUST-1455"/>
        <s v="CUST-1279"/>
        <s v="CUST-1226"/>
        <s v="CUST-1270"/>
        <s v="CUST-1411"/>
        <s v="CUST-1473"/>
        <s v="CUST-1160"/>
        <s v="CUST-1347"/>
        <s v="CUST-1259"/>
        <s v="CUST-1362"/>
        <s v="CUST-1117"/>
      </sharedItems>
    </cacheField>
    <cacheField name="Sales_Rep" numFmtId="0">
      <sharedItems count="11">
        <s v="Unknown Rep"/>
        <s v="Carlos Rivera"/>
        <s v="David Chen"/>
        <s v="Kevin Patel"/>
        <s v="Aisha Mensah"/>
        <s v="Emily Johnson"/>
        <s v="Linda Nguyen"/>
        <s v="Tom Baker"/>
        <s v="Sarah Williams"/>
        <s v="Maria Santos"/>
        <s v="James Okafor"/>
      </sharedItems>
    </cacheField>
    <cacheField name="Region" numFmtId="0">
      <sharedItems count="5">
        <s v="South"/>
        <s v="Central"/>
        <s v="West"/>
        <s v="East"/>
        <s v="North"/>
      </sharedItems>
    </cacheField>
    <cacheField name="Product" numFmtId="0">
      <sharedItems count="8">
        <s v="Webcam"/>
        <s v="Keyboard"/>
        <s v="Headset"/>
        <s v="Mouse"/>
        <s v="Docking Station"/>
        <s v="Monitor"/>
        <s v="Usb Hub"/>
        <s v="Laptop"/>
      </sharedItems>
    </cacheField>
    <cacheField name="Category" numFmtId="0">
      <sharedItems count="5">
        <s v="Video"/>
        <s v="Peripherals"/>
        <s v="Audio"/>
        <s v="Computing"/>
        <s v="Display"/>
      </sharedItems>
    </cacheField>
    <cacheField name="Quantity" numFmtId="0">
      <sharedItems containsSemiMixedTypes="0" containsString="0" containsNumber="1" containsInteger="1" minValue="1" maxValue="50"/>
    </cacheField>
    <cacheField name="Unit_Price" numFmtId="0">
      <sharedItems containsSemiMixedTypes="0" containsString="0" containsNumber="1" minValue="31.58" maxValue="13791.5"/>
    </cacheField>
    <cacheField name="Discount_%" numFmtId="0">
      <sharedItems containsSemiMixedTypes="0" containsString="0" containsNumber="1" minValue="-0.68" maxValue="0.92" count="18">
        <n v="0"/>
        <n v="0.15"/>
        <n v="0.91"/>
        <n v="0.1"/>
        <n v="0.2"/>
        <n v="0.05"/>
        <n v="0.92"/>
        <n v="0.9"/>
        <n v="0.14000000000000001"/>
        <n v="-0.04"/>
        <n v="-0.56999999999999995"/>
        <n v="-0.21"/>
        <n v="-0.68"/>
        <n v="0.43"/>
        <n v="-0.28999999999999998"/>
        <n v="0.03"/>
        <n v="0.24"/>
        <n v="-0.35"/>
      </sharedItems>
    </cacheField>
    <cacheField name="Revenue" numFmtId="0">
      <sharedItems containsSemiMixedTypes="0" containsString="0" containsNumber="1" minValue="60.84" maxValue="60938.04" count="499">
        <n v="2641.03"/>
        <n v="796"/>
        <n v="2415.9699999999998"/>
        <n v="1357.14"/>
        <n v="984.31"/>
        <n v="4015.83"/>
        <n v="6546.83"/>
        <n v="1416.1"/>
        <n v="1152.57"/>
        <n v="11496.51"/>
        <n v="5110.16"/>
        <n v="1345.2"/>
        <n v="341.73"/>
        <n v="2522.7199999999998"/>
        <n v="21490.94"/>
        <n v="1049.6199999999999"/>
        <n v="2302.14"/>
        <n v="2414.0300000000002"/>
        <n v="1014.1"/>
        <n v="6445.34"/>
        <n v="954.99"/>
        <n v="21039.88"/>
        <n v="4932.3"/>
        <n v="1536.48"/>
        <n v="1199.95"/>
        <n v="3403.6"/>
        <n v="6802"/>
        <n v="3805.6"/>
        <n v="38091.71"/>
        <n v="1518.71"/>
        <n v="38888.61"/>
        <n v="13635.44"/>
        <n v="706.05"/>
        <n v="10089.99"/>
        <n v="49506.2"/>
        <n v="2688.32"/>
        <n v="46370.5"/>
        <n v="578.9"/>
        <n v="8364.5300000000007"/>
        <n v="14962.5"/>
        <n v="2295.23"/>
        <n v="1443.39"/>
        <n v="290.7"/>
        <n v="791.76"/>
        <n v="12841"/>
        <n v="2205.75"/>
        <n v="1626.9"/>
        <n v="17676.38"/>
        <n v="495.5"/>
        <n v="1927.93"/>
        <n v="14542.77"/>
        <n v="2525.61"/>
        <n v="1103.4000000000001"/>
        <n v="2665.44"/>
        <n v="401.57"/>
        <n v="1465.82"/>
        <n v="4429.62"/>
        <n v="1691.76"/>
        <n v="3416.51"/>
        <n v="1816.29"/>
        <n v="932.09"/>
        <n v="26114.5"/>
        <n v="3516"/>
        <n v="1711.85"/>
        <n v="474.91"/>
        <n v="11281.14"/>
        <n v="4593.87"/>
        <n v="3437.06"/>
        <n v="3745.14"/>
        <n v="9912.4599999999991"/>
        <n v="1295.49"/>
        <n v="3835.87"/>
        <n v="804.09"/>
        <n v="1636.36"/>
        <n v="2866.54"/>
        <n v="3444.87"/>
        <n v="14544.8"/>
        <n v="13368.4"/>
        <n v="5270.85"/>
        <n v="18474.400000000001"/>
        <n v="30883.15"/>
        <n v="420.15"/>
        <n v="1326.36"/>
        <n v="493.73"/>
        <n v="1201.1600000000001"/>
        <n v="1765.64"/>
        <n v="2505.92"/>
        <n v="3421.71"/>
        <n v="1478.99"/>
        <n v="6862.5"/>
        <n v="5018.3999999999996"/>
        <n v="1226.96"/>
        <n v="4053.41"/>
        <n v="366.4"/>
        <n v="15908.4"/>
        <n v="2554.48"/>
        <n v="18184.900000000001"/>
        <n v="14971.95"/>
        <n v="3810.66"/>
        <n v="165.31"/>
        <n v="24403.96"/>
        <n v="462.9"/>
        <n v="4489.32"/>
        <n v="15738.1"/>
        <n v="2392.3200000000002"/>
        <n v="2963.28"/>
        <n v="1925.59"/>
        <n v="1776"/>
        <n v="523.57000000000005"/>
        <n v="6645.2"/>
        <n v="874.43"/>
        <n v="2677.62"/>
        <n v="55452"/>
        <n v="12485.72"/>
        <n v="868.72"/>
        <n v="3428.98"/>
        <n v="637.70000000000005"/>
        <n v="1068.76"/>
        <n v="170.86"/>
        <n v="8536.89"/>
        <n v="899.54"/>
        <n v="5847.57"/>
        <n v="4710.07"/>
        <n v="7519.68"/>
        <n v="1562.94"/>
        <n v="1588.48"/>
        <n v="2862.96"/>
        <n v="3062.98"/>
        <n v="4495.3999999999996"/>
        <n v="1706.72"/>
        <n v="930.37"/>
        <n v="5926.86"/>
        <n v="5276.52"/>
        <n v="402.05"/>
        <n v="3716.46"/>
        <n v="3911.11"/>
        <n v="5883.46"/>
        <n v="1255.2"/>
        <n v="3864.53"/>
        <n v="2845.95"/>
        <n v="414.72"/>
        <n v="87.31"/>
        <n v="1272.23"/>
        <n v="1985.31"/>
        <n v="287.11"/>
        <n v="1269.44"/>
        <n v="1014.53"/>
        <n v="46265.31"/>
        <n v="2983.3"/>
        <n v="2603.5"/>
        <n v="2984.24"/>
        <n v="49675.54"/>
        <n v="493.7"/>
        <n v="1793.75"/>
        <n v="548.67999999999995"/>
        <n v="120.64"/>
        <n v="1985.5"/>
        <n v="3226.1"/>
        <n v="14945.85"/>
        <n v="550.12"/>
        <n v="22933.15"/>
        <n v="337.36"/>
        <n v="3905.94"/>
        <n v="2452.8000000000002"/>
        <n v="3396.7"/>
        <n v="205.36"/>
        <n v="3955.47"/>
        <n v="213.72"/>
        <n v="865.23"/>
        <n v="1686.26"/>
        <n v="2487.6"/>
        <n v="4965.3"/>
        <n v="2195.04"/>
        <n v="655.35"/>
        <n v="947.37"/>
        <n v="599.69000000000005"/>
        <n v="22144.32"/>
        <n v="1710.91"/>
        <n v="1178.78"/>
        <n v="1266.4100000000001"/>
        <n v="8210.61"/>
        <n v="11199.89"/>
        <n v="12963.86"/>
        <n v="1455.02"/>
        <n v="11548.71"/>
        <n v="1220.5999999999999"/>
        <n v="3450.42"/>
        <n v="2698.5"/>
        <n v="10892.02"/>
        <n v="372.17"/>
        <n v="60938.04"/>
        <n v="3157.68"/>
        <n v="4067.67"/>
        <n v="10988.46"/>
        <n v="1188.49"/>
        <n v="10492.23"/>
        <n v="2683.64"/>
        <n v="2206.46"/>
        <n v="12239.23"/>
        <n v="1422.29"/>
        <n v="870.55"/>
        <n v="587.36"/>
        <n v="942.32"/>
        <n v="6735.1"/>
        <n v="5511.82"/>
        <n v="4379.6400000000003"/>
        <n v="1903.05"/>
        <n v="3452.51"/>
        <n v="11526.03"/>
        <n v="205.34"/>
        <n v="3058.52"/>
        <n v="12246.08"/>
        <n v="4888.4799999999996"/>
        <n v="1878.5"/>
        <n v="1405.09"/>
        <n v="8733.1200000000008"/>
        <n v="7704.18"/>
        <n v="3277.68"/>
        <n v="2786.4"/>
        <n v="81.52"/>
        <n v="1741.16"/>
        <n v="1336.44"/>
        <n v="4166.88"/>
        <n v="80.81"/>
        <n v="2197.25"/>
        <n v="37894.11"/>
        <n v="24814.02"/>
        <n v="54230"/>
        <n v="294.37"/>
        <n v="4914.34"/>
        <n v="3439.11"/>
        <n v="27174.6"/>
        <n v="17196.96"/>
        <n v="1775.26"/>
        <n v="1637.31"/>
        <n v="51628.1"/>
        <n v="3117.76"/>
        <n v="4828.45"/>
        <n v="2986.8"/>
        <n v="7561.94"/>
        <n v="9125.51"/>
        <n v="2647.8"/>
        <n v="461.17"/>
        <n v="1885.63"/>
        <n v="503.39"/>
        <n v="3990.32"/>
        <n v="2856.79"/>
        <n v="291.89"/>
        <n v="1016.19"/>
        <n v="2851.8"/>
        <n v="303.76"/>
        <n v="1741.88"/>
        <n v="941.59"/>
        <n v="4293.1099999999997"/>
        <n v="16417.419999999998"/>
        <n v="6164.2"/>
        <n v="1818.55"/>
        <n v="3419.46"/>
        <n v="2192.58"/>
        <n v="9197.24"/>
        <n v="1380.06"/>
        <n v="256.97000000000003"/>
        <n v="4849.47"/>
        <n v="3808.68"/>
        <n v="13701.76"/>
        <n v="896.1"/>
        <n v="40595.9"/>
        <n v="754.63"/>
        <n v="10297.49"/>
        <n v="23036.19"/>
        <n v="4797.82"/>
        <n v="110.64"/>
        <n v="523.22"/>
        <n v="23500.58"/>
        <n v="677.02"/>
        <n v="967.41"/>
        <n v="10459.709999999999"/>
        <n v="7822.91"/>
        <n v="1253.44"/>
        <n v="5163.96"/>
        <n v="4629.3100000000004"/>
        <n v="3779.63"/>
        <n v="12485"/>
        <n v="1317.96"/>
        <n v="690.78"/>
        <n v="4047.33"/>
        <n v="34477.89"/>
        <n v="1980.23"/>
        <n v="3874.5"/>
        <n v="6990.3"/>
        <n v="6295.65"/>
        <n v="11529.96"/>
        <n v="4239.8999999999996"/>
        <n v="974.4"/>
        <n v="2858.76"/>
        <n v="22175.66"/>
        <n v="1070.8499999999999"/>
        <n v="2024.06"/>
        <n v="6974.96"/>
        <n v="43896.38"/>
        <n v="1720.44"/>
        <n v="16966.53"/>
        <n v="1642.2"/>
        <n v="7525.44"/>
        <n v="15144"/>
        <n v="2476.39"/>
        <n v="1803.01"/>
        <n v="1670.1"/>
        <n v="1133.3699999999999"/>
        <n v="2374.84"/>
        <n v="2842.1"/>
        <n v="4334.24"/>
        <n v="1498.43"/>
        <n v="6645.38"/>
        <n v="1885.06"/>
        <n v="17585.34"/>
        <n v="11286"/>
        <n v="2314.7199999999998"/>
        <n v="12481.63"/>
        <n v="1755.76"/>
        <n v="204.78"/>
        <n v="1036.5899999999999"/>
        <n v="188.45"/>
        <n v="215.1"/>
        <n v="1515.04"/>
        <n v="14299.56"/>
        <n v="7864.9"/>
        <n v="41553"/>
        <n v="3440.72"/>
        <n v="8989.42"/>
        <n v="913.76"/>
        <n v="12525.79"/>
        <n v="7285.02"/>
        <n v="17641.47"/>
        <n v="60.84"/>
        <n v="1100.0999999999999"/>
        <n v="4152.93"/>
        <n v="24718.81"/>
        <n v="4198.26"/>
        <n v="21033.43"/>
        <n v="1161.05"/>
        <n v="4110.5600000000004"/>
        <n v="5409.9"/>
        <n v="9573.2000000000007"/>
        <n v="260.58"/>
        <n v="10818.72"/>
        <n v="629.61"/>
        <n v="958.03"/>
        <n v="6488.88"/>
        <n v="11626.56"/>
        <n v="2569.54"/>
        <n v="1612.28"/>
        <n v="9054.02"/>
        <n v="250.15"/>
        <n v="4168.5"/>
        <n v="4676.82"/>
        <n v="7199.18"/>
        <n v="3441.24"/>
        <n v="1657.3"/>
        <n v="1853.68"/>
        <n v="4196.6400000000003"/>
        <n v="2145.36"/>
        <n v="124.71"/>
        <n v="16508.21"/>
        <n v="879.12"/>
        <n v="1191.3"/>
        <n v="1706.87"/>
        <n v="20809.810000000001"/>
        <n v="15004.8"/>
        <n v="1213.5999999999999"/>
        <n v="11635.84"/>
        <n v="4348.84"/>
        <n v="776.56"/>
        <n v="4188.8500000000004"/>
        <n v="1616.37"/>
        <n v="2564.54"/>
        <n v="1461.67"/>
        <n v="3770.88"/>
        <n v="1309.82"/>
        <n v="13610.8"/>
        <n v="17218.54"/>
        <n v="5649.72"/>
        <n v="8623.19"/>
        <n v="2901.87"/>
        <n v="1639.34"/>
        <n v="826.83"/>
        <n v="16924.05"/>
        <n v="174.98"/>
        <n v="3121.21"/>
        <n v="3392.69"/>
        <n v="3293.89"/>
        <n v="12747.28"/>
        <n v="1713.2"/>
        <n v="521.14"/>
        <n v="364.01"/>
        <n v="535.20000000000005"/>
        <n v="3592.78"/>
        <n v="1876.98"/>
        <n v="13727.28"/>
        <n v="3736.64"/>
        <n v="304.57"/>
        <n v="8223.9599999999991"/>
        <n v="6751.05"/>
        <n v="1013.54"/>
        <n v="434.61"/>
        <n v="2522.42"/>
        <n v="3927.5"/>
        <n v="2464.29"/>
        <n v="1318.4"/>
        <n v="1588.51"/>
        <n v="1282.18"/>
        <n v="9774.24"/>
        <n v="586.59"/>
        <n v="27688.639999999999"/>
        <n v="74.58"/>
        <n v="3832.8"/>
        <n v="88.38"/>
        <n v="2438"/>
        <n v="1394.32"/>
        <n v="4608.22"/>
        <n v="630.61"/>
        <n v="4601.8599999999997"/>
        <n v="11727.97"/>
        <n v="11903.92"/>
        <n v="71.180000000000007"/>
        <n v="22660.41"/>
        <n v="1248.8900000000001"/>
        <n v="619.14"/>
        <n v="14774.76"/>
        <n v="714.6"/>
        <n v="3538.04"/>
        <n v="47721.36"/>
        <n v="3457.02"/>
        <n v="4702.92"/>
        <n v="3622.97"/>
        <n v="3844.36"/>
        <n v="1498.39"/>
        <n v="820.08"/>
        <n v="23402.68"/>
        <n v="1820.98"/>
        <n v="8025.62"/>
        <n v="15475.32"/>
        <n v="11598.71"/>
        <n v="13006.57"/>
        <n v="2007.41"/>
        <n v="12015.17"/>
        <n v="1244"/>
        <n v="2471.85"/>
        <n v="1282.31"/>
        <n v="5388"/>
        <n v="291.04000000000002"/>
        <n v="977.1"/>
        <n v="14599"/>
        <n v="7782.06"/>
        <n v="25376.36"/>
        <n v="54881"/>
        <n v="5259.58"/>
        <n v="17195.599999999999"/>
        <n v="764.32"/>
        <n v="3750.4"/>
        <n v="21383.17"/>
        <n v="1148.8599999999999"/>
        <n v="23128.67"/>
        <n v="4024.86"/>
        <n v="1071.1199999999999"/>
        <n v="2682.23"/>
        <n v="2538.38"/>
        <n v="50891.4"/>
        <n v="604.35"/>
        <n v="17148.29"/>
        <n v="5687.77"/>
        <n v="892.32"/>
        <n v="1567.76"/>
        <n v="282.02999999999997"/>
        <n v="6847.2"/>
        <n v="39194.519999999997"/>
        <n v="1499.09"/>
        <n v="5852.48"/>
        <n v="867.77"/>
        <n v="12985.82"/>
        <n v="9853.66"/>
        <n v="201.79"/>
        <n v="3966.43"/>
        <n v="976.32"/>
        <n v="1541.9"/>
        <n v="1732.6"/>
        <n v="19214.2"/>
        <n v="9909.92"/>
        <n v="752.73"/>
        <n v="1424.02"/>
        <n v="193.68"/>
        <n v="13971.2"/>
        <n v="2531.84"/>
        <n v="355.17"/>
        <n v="3006.45"/>
        <n v="3376.62"/>
        <n v="2049.25"/>
        <n v="2071.42"/>
        <n v="14628.6"/>
      </sharedItems>
    </cacheField>
    <cacheField name="Discount_Band" numFmtId="0">
      <sharedItems count="4">
        <s v="No_Discount "/>
        <s v="Medium "/>
        <s v="High "/>
        <s v="Low "/>
      </sharedItems>
    </cacheField>
    <cacheField name="Days (Date)" numFmtId="0" databaseField="0">
      <fieldGroup base="1">
        <rangePr groupBy="days" startDate="2023-01-03T00:00:00" endDate="2024-01-01T00:00:00"/>
        <groupItems count="368">
          <s v="&lt;3 01 2023"/>
          <s v="1 Jan"/>
          <s v="2 Jan"/>
          <s v="3 Jan"/>
          <s v="4 Jan"/>
          <s v="5 Jan"/>
          <s v="6 Jan"/>
          <s v="7 Jan"/>
          <s v="8 Jan"/>
          <s v="9 Jan"/>
          <s v="10 Jan"/>
          <s v="11 Jan"/>
          <s v="12 Jan"/>
          <s v="13 Jan"/>
          <s v="14 Jan"/>
          <s v="15 Jan"/>
          <s v="16 Jan"/>
          <s v="17 Jan"/>
          <s v="18 Jan"/>
          <s v="19 Jan"/>
          <s v="20 Jan"/>
          <s v="21 Jan"/>
          <s v="22 Jan"/>
          <s v="23 Jan"/>
          <s v="24 Jan"/>
          <s v="25 Jan"/>
          <s v="26 Jan"/>
          <s v="27 Jan"/>
          <s v="28 Jan"/>
          <s v="29 Jan"/>
          <s v="30 Jan"/>
          <s v="31 Jan"/>
          <s v="1 Feb"/>
          <s v="2 Feb"/>
          <s v="3 Feb"/>
          <s v="4 Feb"/>
          <s v="5 Feb"/>
          <s v="6 Feb"/>
          <s v="7 Feb"/>
          <s v="8 Feb"/>
          <s v="9 Feb"/>
          <s v="10 Feb"/>
          <s v="11 Feb"/>
          <s v="12 Feb"/>
          <s v="13 Feb"/>
          <s v="14 Feb"/>
          <s v="15 Feb"/>
          <s v="16 Feb"/>
          <s v="17 Feb"/>
          <s v="18 Feb"/>
          <s v="19 Feb"/>
          <s v="20 Feb"/>
          <s v="21 Feb"/>
          <s v="22 Feb"/>
          <s v="23 Feb"/>
          <s v="24 Feb"/>
          <s v="25 Feb"/>
          <s v="26 Feb"/>
          <s v="27 Feb"/>
          <s v="28 Feb"/>
          <s v="29 Feb"/>
          <s v="1 Mar"/>
          <s v="2 Mar"/>
          <s v="3 Mar"/>
          <s v="4 Mar"/>
          <s v="5 Mar"/>
          <s v="6 Mar"/>
          <s v="7 Mar"/>
          <s v="8 Mar"/>
          <s v="9 Mar"/>
          <s v="10 Mar"/>
          <s v="11 Mar"/>
          <s v="12 Mar"/>
          <s v="13 Mar"/>
          <s v="14 Mar"/>
          <s v="15 Mar"/>
          <s v="16 Mar"/>
          <s v="17 Mar"/>
          <s v="18 Mar"/>
          <s v="19 Mar"/>
          <s v="20 Mar"/>
          <s v="21 Mar"/>
          <s v="22 Mar"/>
          <s v="23 Mar"/>
          <s v="24 Mar"/>
          <s v="25 Mar"/>
          <s v="26 Mar"/>
          <s v="27 Mar"/>
          <s v="28 Mar"/>
          <s v="29 Mar"/>
          <s v="30 Mar"/>
          <s v="31 Mar"/>
          <s v="1 Apr"/>
          <s v="2 Apr"/>
          <s v="3 Apr"/>
          <s v="4 Apr"/>
          <s v="5 Apr"/>
          <s v="6 Apr"/>
          <s v="7 Apr"/>
          <s v="8 Apr"/>
          <s v="9 Apr"/>
          <s v="10 Apr"/>
          <s v="11 Apr"/>
          <s v="12 Apr"/>
          <s v="13 Apr"/>
          <s v="14 Apr"/>
          <s v="15 Apr"/>
          <s v="16 Apr"/>
          <s v="17 Apr"/>
          <s v="18 Apr"/>
          <s v="19 Apr"/>
          <s v="20 Apr"/>
          <s v="21 Apr"/>
          <s v="22 Apr"/>
          <s v="23 Apr"/>
          <s v="24 Apr"/>
          <s v="25 Apr"/>
          <s v="26 Apr"/>
          <s v="27 Apr"/>
          <s v="28 Apr"/>
          <s v="29 Apr"/>
          <s v="30 Apr"/>
          <s v="1 May"/>
          <s v="2 May"/>
          <s v="3 May"/>
          <s v="4 May"/>
          <s v="5 May"/>
          <s v="6 May"/>
          <s v="7 May"/>
          <s v="8 May"/>
          <s v="9 May"/>
          <s v="10 May"/>
          <s v="11 May"/>
          <s v="12 May"/>
          <s v="13 May"/>
          <s v="14 May"/>
          <s v="15 May"/>
          <s v="16 May"/>
          <s v="17 May"/>
          <s v="18 May"/>
          <s v="19 May"/>
          <s v="20 May"/>
          <s v="21 May"/>
          <s v="22 May"/>
          <s v="23 May"/>
          <s v="24 May"/>
          <s v="25 May"/>
          <s v="26 May"/>
          <s v="27 May"/>
          <s v="28 May"/>
          <s v="29 May"/>
          <s v="30 May"/>
          <s v="31 May"/>
          <s v="1 Jun"/>
          <s v="2 Jun"/>
          <s v="3 Jun"/>
          <s v="4 Jun"/>
          <s v="5 Jun"/>
          <s v="6 Jun"/>
          <s v="7 Jun"/>
          <s v="8 Jun"/>
          <s v="9 Jun"/>
          <s v="10 Jun"/>
          <s v="11 Jun"/>
          <s v="12 Jun"/>
          <s v="13 Jun"/>
          <s v="14 Jun"/>
          <s v="15 Jun"/>
          <s v="16 Jun"/>
          <s v="17 Jun"/>
          <s v="18 Jun"/>
          <s v="19 Jun"/>
          <s v="20 Jun"/>
          <s v="21 Jun"/>
          <s v="22 Jun"/>
          <s v="23 Jun"/>
          <s v="24 Jun"/>
          <s v="25 Jun"/>
          <s v="26 Jun"/>
          <s v="27 Jun"/>
          <s v="28 Jun"/>
          <s v="29 Jun"/>
          <s v="30 Jun"/>
          <s v="1 Jul"/>
          <s v="2 Jul"/>
          <s v="3 Jul"/>
          <s v="4 Jul"/>
          <s v="5 Jul"/>
          <s v="6 Jul"/>
          <s v="7 Jul"/>
          <s v="8 Jul"/>
          <s v="9 Jul"/>
          <s v="10 Jul"/>
          <s v="11 Jul"/>
          <s v="12 Jul"/>
          <s v="13 Jul"/>
          <s v="14 Jul"/>
          <s v="15 Jul"/>
          <s v="16 Jul"/>
          <s v="17 Jul"/>
          <s v="18 Jul"/>
          <s v="19 Jul"/>
          <s v="20 Jul"/>
          <s v="21 Jul"/>
          <s v="22 Jul"/>
          <s v="23 Jul"/>
          <s v="24 Jul"/>
          <s v="25 Jul"/>
          <s v="26 Jul"/>
          <s v="27 Jul"/>
          <s v="28 Jul"/>
          <s v="29 Jul"/>
          <s v="30 Jul"/>
          <s v="31 Jul"/>
          <s v="1 Aug"/>
          <s v="2 Aug"/>
          <s v="3 Aug"/>
          <s v="4 Aug"/>
          <s v="5 Aug"/>
          <s v="6 Aug"/>
          <s v="7 Aug"/>
          <s v="8 Aug"/>
          <s v="9 Aug"/>
          <s v="10 Aug"/>
          <s v="11 Aug"/>
          <s v="12 Aug"/>
          <s v="13 Aug"/>
          <s v="14 Aug"/>
          <s v="15 Aug"/>
          <s v="16 Aug"/>
          <s v="17 Aug"/>
          <s v="18 Aug"/>
          <s v="19 Aug"/>
          <s v="20 Aug"/>
          <s v="21 Aug"/>
          <s v="22 Aug"/>
          <s v="23 Aug"/>
          <s v="24 Aug"/>
          <s v="25 Aug"/>
          <s v="26 Aug"/>
          <s v="27 Aug"/>
          <s v="28 Aug"/>
          <s v="29 Aug"/>
          <s v="30 Aug"/>
          <s v="31 Aug"/>
          <s v="1 Sep"/>
          <s v="2 Sep"/>
          <s v="3 Sep"/>
          <s v="4 Sep"/>
          <s v="5 Sep"/>
          <s v="6 Sep"/>
          <s v="7 Sep"/>
          <s v="8 Sep"/>
          <s v="9 Sep"/>
          <s v="10 Sep"/>
          <s v="11 Sep"/>
          <s v="12 Sep"/>
          <s v="13 Sep"/>
          <s v="14 Sep"/>
          <s v="15 Sep"/>
          <s v="16 Sep"/>
          <s v="17 Sep"/>
          <s v="18 Sep"/>
          <s v="19 Sep"/>
          <s v="20 Sep"/>
          <s v="21 Sep"/>
          <s v="22 Sep"/>
          <s v="23 Sep"/>
          <s v="24 Sep"/>
          <s v="25 Sep"/>
          <s v="26 Sep"/>
          <s v="27 Sep"/>
          <s v="28 Sep"/>
          <s v="29 Sep"/>
          <s v="30 Sep"/>
          <s v="1 Oct"/>
          <s v="2 Oct"/>
          <s v="3 Oct"/>
          <s v="4 Oct"/>
          <s v="5 Oct"/>
          <s v="6 Oct"/>
          <s v="7 Oct"/>
          <s v="8 Oct"/>
          <s v="9 Oct"/>
          <s v="10 Oct"/>
          <s v="11 Oct"/>
          <s v="12 Oct"/>
          <s v="13 Oct"/>
          <s v="14 Oct"/>
          <s v="15 Oct"/>
          <s v="16 Oct"/>
          <s v="17 Oct"/>
          <s v="18 Oct"/>
          <s v="19 Oct"/>
          <s v="20 Oct"/>
          <s v="21 Oct"/>
          <s v="22 Oct"/>
          <s v="23 Oct"/>
          <s v="24 Oct"/>
          <s v="25 Oct"/>
          <s v="26 Oct"/>
          <s v="27 Oct"/>
          <s v="28 Oct"/>
          <s v="29 Oct"/>
          <s v="30 Oct"/>
          <s v="31 Oct"/>
          <s v="1 Nov"/>
          <s v="2 Nov"/>
          <s v="3 Nov"/>
          <s v="4 Nov"/>
          <s v="5 Nov"/>
          <s v="6 Nov"/>
          <s v="7 Nov"/>
          <s v="8 Nov"/>
          <s v="9 Nov"/>
          <s v="10 Nov"/>
          <s v="11 Nov"/>
          <s v="12 Nov"/>
          <s v="13 Nov"/>
          <s v="14 Nov"/>
          <s v="15 Nov"/>
          <s v="16 Nov"/>
          <s v="17 Nov"/>
          <s v="18 Nov"/>
          <s v="19 Nov"/>
          <s v="20 Nov"/>
          <s v="21 Nov"/>
          <s v="22 Nov"/>
          <s v="23 Nov"/>
          <s v="24 Nov"/>
          <s v="25 Nov"/>
          <s v="26 Nov"/>
          <s v="27 Nov"/>
          <s v="28 Nov"/>
          <s v="29 Nov"/>
          <s v="30 Nov"/>
          <s v="1 Dec"/>
          <s v="2 Dec"/>
          <s v="3 Dec"/>
          <s v="4 Dec"/>
          <s v="5 Dec"/>
          <s v="6 Dec"/>
          <s v="7 Dec"/>
          <s v="8 Dec"/>
          <s v="9 Dec"/>
          <s v="10 Dec"/>
          <s v="11 Dec"/>
          <s v="12 Dec"/>
          <s v="13 Dec"/>
          <s v="14 Dec"/>
          <s v="15 Dec"/>
          <s v="16 Dec"/>
          <s v="17 Dec"/>
          <s v="18 Dec"/>
          <s v="19 Dec"/>
          <s v="20 Dec"/>
          <s v="21 Dec"/>
          <s v="22 Dec"/>
          <s v="23 Dec"/>
          <s v="24 Dec"/>
          <s v="25 Dec"/>
          <s v="26 Dec"/>
          <s v="27 Dec"/>
          <s v="28 Dec"/>
          <s v="29 Dec"/>
          <s v="30 Dec"/>
          <s v="31 Dec"/>
          <s v="&gt;1 01 2024"/>
        </groupItems>
      </fieldGroup>
    </cacheField>
    <cacheField name="Months (Date)" numFmtId="0" databaseField="0">
      <fieldGroup base="1">
        <rangePr groupBy="months" startDate="2023-01-03T00:00:00" endDate="2024-01-01T00:00:00"/>
        <groupItems count="14">
          <s v="&lt;3 01 2023"/>
          <s v="Jan"/>
          <s v="Feb"/>
          <s v="Mar"/>
          <s v="Apr"/>
          <s v="May"/>
          <s v="Jun"/>
          <s v="Jul"/>
          <s v="Aug"/>
          <s v="Sep"/>
          <s v="Oct"/>
          <s v="Nov"/>
          <s v="Dec"/>
          <s v="&gt;1 01 2024"/>
        </groupItems>
      </fieldGroup>
    </cacheField>
  </cacheFields>
  <extLst>
    <ext xmlns:x14="http://schemas.microsoft.com/office/spreadsheetml/2009/9/main" uri="{725AE2AE-9491-48be-B2B4-4EB974FC3084}">
      <x14:pivotCacheDefinition pivotCacheId="947207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0">
  <r>
    <s v="ORD-01360"/>
    <x v="0"/>
    <x v="0"/>
    <x v="0"/>
    <x v="0"/>
    <x v="0"/>
    <x v="0"/>
    <n v="29"/>
    <n v="91.07"/>
    <x v="0"/>
    <x v="0"/>
    <x v="0"/>
  </r>
  <r>
    <s v="ORD-01457"/>
    <x v="1"/>
    <x v="1"/>
    <x v="1"/>
    <x v="1"/>
    <x v="1"/>
    <x v="1"/>
    <n v="10"/>
    <n v="79.599999999999994"/>
    <x v="0"/>
    <x v="1"/>
    <x v="0"/>
  </r>
  <r>
    <s v="ORD-01328"/>
    <x v="2"/>
    <x v="2"/>
    <x v="2"/>
    <x v="2"/>
    <x v="2"/>
    <x v="2"/>
    <n v="24"/>
    <n v="118.43"/>
    <x v="1"/>
    <x v="2"/>
    <x v="1"/>
  </r>
  <r>
    <s v="ORD-01014"/>
    <x v="3"/>
    <x v="3"/>
    <x v="3"/>
    <x v="2"/>
    <x v="3"/>
    <x v="1"/>
    <n v="33"/>
    <n v="432.9"/>
    <x v="2"/>
    <x v="3"/>
    <x v="2"/>
  </r>
  <r>
    <s v="ORD-01422"/>
    <x v="4"/>
    <x v="4"/>
    <x v="4"/>
    <x v="3"/>
    <x v="1"/>
    <x v="1"/>
    <n v="12"/>
    <n v="91.14"/>
    <x v="3"/>
    <x v="4"/>
    <x v="3"/>
  </r>
  <r>
    <s v="ORD-01406"/>
    <x v="5"/>
    <x v="5"/>
    <x v="5"/>
    <x v="0"/>
    <x v="2"/>
    <x v="2"/>
    <n v="37"/>
    <n v="135.66999999999999"/>
    <x v="4"/>
    <x v="5"/>
    <x v="1"/>
  </r>
  <r>
    <s v="ORD-01484"/>
    <x v="6"/>
    <x v="6"/>
    <x v="3"/>
    <x v="2"/>
    <x v="4"/>
    <x v="3"/>
    <n v="19"/>
    <n v="344.57"/>
    <x v="0"/>
    <x v="6"/>
    <x v="0"/>
  </r>
  <r>
    <s v="ORD-01174"/>
    <x v="7"/>
    <x v="7"/>
    <x v="4"/>
    <x v="2"/>
    <x v="3"/>
    <x v="1"/>
    <n v="33"/>
    <n v="47.68"/>
    <x v="3"/>
    <x v="7"/>
    <x v="3"/>
  </r>
  <r>
    <s v="ORD-01066"/>
    <x v="8"/>
    <x v="8"/>
    <x v="1"/>
    <x v="3"/>
    <x v="2"/>
    <x v="2"/>
    <n v="11"/>
    <n v="123.27"/>
    <x v="1"/>
    <x v="8"/>
    <x v="1"/>
  </r>
  <r>
    <s v="ORD-01471"/>
    <x v="9"/>
    <x v="9"/>
    <x v="6"/>
    <x v="3"/>
    <x v="4"/>
    <x v="3"/>
    <n v="37"/>
    <n v="327.07"/>
    <x v="5"/>
    <x v="9"/>
    <x v="3"/>
  </r>
  <r>
    <s v="ORD-01496"/>
    <x v="10"/>
    <x v="10"/>
    <x v="7"/>
    <x v="1"/>
    <x v="5"/>
    <x v="4"/>
    <n v="11"/>
    <n v="464.56"/>
    <x v="0"/>
    <x v="10"/>
    <x v="0"/>
  </r>
  <r>
    <s v="ORD-01421"/>
    <x v="11"/>
    <x v="11"/>
    <x v="3"/>
    <x v="3"/>
    <x v="3"/>
    <x v="1"/>
    <n v="38"/>
    <n v="44.25"/>
    <x v="4"/>
    <x v="11"/>
    <x v="1"/>
  </r>
  <r>
    <s v="ORD-01446"/>
    <x v="12"/>
    <x v="12"/>
    <x v="0"/>
    <x v="4"/>
    <x v="3"/>
    <x v="1"/>
    <n v="9"/>
    <n v="44.67"/>
    <x v="1"/>
    <x v="12"/>
    <x v="1"/>
  </r>
  <r>
    <s v="ORD-01110"/>
    <x v="13"/>
    <x v="13"/>
    <x v="7"/>
    <x v="4"/>
    <x v="4"/>
    <x v="3"/>
    <n v="10"/>
    <n v="296.79000000000002"/>
    <x v="1"/>
    <x v="13"/>
    <x v="1"/>
  </r>
  <r>
    <s v="ORD-01259"/>
    <x v="14"/>
    <x v="14"/>
    <x v="1"/>
    <x v="3"/>
    <x v="5"/>
    <x v="4"/>
    <n v="47"/>
    <n v="508.06"/>
    <x v="3"/>
    <x v="14"/>
    <x v="3"/>
  </r>
  <r>
    <s v="ORD-01454"/>
    <x v="15"/>
    <x v="15"/>
    <x v="8"/>
    <x v="0"/>
    <x v="0"/>
    <x v="0"/>
    <n v="11"/>
    <n v="95.42"/>
    <x v="0"/>
    <x v="15"/>
    <x v="0"/>
  </r>
  <r>
    <s v="ORD-01304"/>
    <x v="16"/>
    <x v="16"/>
    <x v="5"/>
    <x v="2"/>
    <x v="0"/>
    <x v="0"/>
    <n v="29"/>
    <n v="99.23"/>
    <x v="4"/>
    <x v="16"/>
    <x v="1"/>
  </r>
  <r>
    <s v="ORD-01306"/>
    <x v="17"/>
    <x v="17"/>
    <x v="7"/>
    <x v="3"/>
    <x v="4"/>
    <x v="3"/>
    <n v="9"/>
    <n v="315.56"/>
    <x v="1"/>
    <x v="17"/>
    <x v="1"/>
  </r>
  <r>
    <s v="ORD-01033"/>
    <x v="18"/>
    <x v="18"/>
    <x v="1"/>
    <x v="0"/>
    <x v="0"/>
    <x v="0"/>
    <n v="11"/>
    <n v="108.46"/>
    <x v="1"/>
    <x v="18"/>
    <x v="1"/>
  </r>
  <r>
    <s v="ORD-01250"/>
    <x v="19"/>
    <x v="19"/>
    <x v="9"/>
    <x v="0"/>
    <x v="4"/>
    <x v="3"/>
    <n v="22"/>
    <n v="292.97000000000003"/>
    <x v="0"/>
    <x v="19"/>
    <x v="0"/>
  </r>
  <r>
    <s v="ORD-01481"/>
    <x v="20"/>
    <x v="20"/>
    <x v="5"/>
    <x v="3"/>
    <x v="6"/>
    <x v="1"/>
    <n v="32"/>
    <n v="35.11"/>
    <x v="1"/>
    <x v="20"/>
    <x v="1"/>
  </r>
  <r>
    <s v="ORD-01125"/>
    <x v="21"/>
    <x v="21"/>
    <x v="9"/>
    <x v="0"/>
    <x v="7"/>
    <x v="3"/>
    <n v="17"/>
    <n v="1237.6400000000001"/>
    <x v="0"/>
    <x v="21"/>
    <x v="0"/>
  </r>
  <r>
    <s v="ORD-01411"/>
    <x v="22"/>
    <x v="22"/>
    <x v="9"/>
    <x v="2"/>
    <x v="7"/>
    <x v="3"/>
    <n v="5"/>
    <n v="1160.54"/>
    <x v="1"/>
    <x v="22"/>
    <x v="1"/>
  </r>
  <r>
    <s v="ORD-01297"/>
    <x v="23"/>
    <x v="23"/>
    <x v="5"/>
    <x v="3"/>
    <x v="6"/>
    <x v="1"/>
    <n v="48"/>
    <n v="32.01"/>
    <x v="0"/>
    <x v="23"/>
    <x v="0"/>
  </r>
  <r>
    <s v="ORD-NEW"/>
    <x v="24"/>
    <x v="9"/>
    <x v="6"/>
    <x v="1"/>
    <x v="6"/>
    <x v="1"/>
    <n v="39"/>
    <n v="38.46"/>
    <x v="4"/>
    <x v="24"/>
    <x v="1"/>
  </r>
  <r>
    <s v="ORD-01460"/>
    <x v="25"/>
    <x v="24"/>
    <x v="2"/>
    <x v="0"/>
    <x v="1"/>
    <x v="1"/>
    <n v="40"/>
    <n v="85.09"/>
    <x v="0"/>
    <x v="25"/>
    <x v="0"/>
  </r>
  <r>
    <s v="ORD-01309"/>
    <x v="26"/>
    <x v="25"/>
    <x v="1"/>
    <x v="4"/>
    <x v="2"/>
    <x v="2"/>
    <n v="50"/>
    <n v="136.04"/>
    <x v="0"/>
    <x v="26"/>
    <x v="0"/>
  </r>
  <r>
    <s v="ORD-01218"/>
    <x v="27"/>
    <x v="24"/>
    <x v="2"/>
    <x v="1"/>
    <x v="2"/>
    <x v="2"/>
    <n v="30"/>
    <n v="133.53"/>
    <x v="5"/>
    <x v="27"/>
    <x v="3"/>
  </r>
  <r>
    <s v="ORD-01368"/>
    <x v="28"/>
    <x v="26"/>
    <x v="9"/>
    <x v="0"/>
    <x v="7"/>
    <x v="3"/>
    <n v="36"/>
    <n v="1175.67"/>
    <x v="3"/>
    <x v="28"/>
    <x v="3"/>
  </r>
  <r>
    <s v="ORD-01442"/>
    <x v="10"/>
    <x v="27"/>
    <x v="5"/>
    <x v="2"/>
    <x v="2"/>
    <x v="2"/>
    <n v="13"/>
    <n v="137.44"/>
    <x v="1"/>
    <x v="29"/>
    <x v="1"/>
  </r>
  <r>
    <s v="ORD-01229"/>
    <x v="29"/>
    <x v="28"/>
    <x v="10"/>
    <x v="0"/>
    <x v="7"/>
    <x v="3"/>
    <n v="35"/>
    <n v="1307.18"/>
    <x v="1"/>
    <x v="30"/>
    <x v="1"/>
  </r>
  <r>
    <s v="ORD-01455"/>
    <x v="30"/>
    <x v="4"/>
    <x v="4"/>
    <x v="1"/>
    <x v="5"/>
    <x v="4"/>
    <n v="38"/>
    <n v="422.15"/>
    <x v="1"/>
    <x v="31"/>
    <x v="1"/>
  </r>
  <r>
    <s v="ORD-01090"/>
    <x v="31"/>
    <x v="29"/>
    <x v="5"/>
    <x v="2"/>
    <x v="3"/>
    <x v="1"/>
    <n v="15"/>
    <n v="47.07"/>
    <x v="0"/>
    <x v="32"/>
    <x v="0"/>
  </r>
  <r>
    <s v="ORD-01069"/>
    <x v="32"/>
    <x v="30"/>
    <x v="8"/>
    <x v="2"/>
    <x v="7"/>
    <x v="3"/>
    <n v="9"/>
    <n v="1121.1099999999999"/>
    <x v="0"/>
    <x v="33"/>
    <x v="0"/>
  </r>
  <r>
    <s v="ORD-01271"/>
    <x v="33"/>
    <x v="23"/>
    <x v="6"/>
    <x v="1"/>
    <x v="7"/>
    <x v="3"/>
    <n v="43"/>
    <n v="1279.23"/>
    <x v="3"/>
    <x v="34"/>
    <x v="3"/>
  </r>
  <r>
    <s v="ORD-01119"/>
    <x v="34"/>
    <x v="31"/>
    <x v="10"/>
    <x v="2"/>
    <x v="1"/>
    <x v="1"/>
    <n v="31"/>
    <n v="86.72"/>
    <x v="0"/>
    <x v="35"/>
    <x v="0"/>
  </r>
  <r>
    <s v="ORD-01351"/>
    <x v="35"/>
    <x v="32"/>
    <x v="6"/>
    <x v="4"/>
    <x v="7"/>
    <x v="3"/>
    <n v="45"/>
    <n v="1084.69"/>
    <x v="5"/>
    <x v="36"/>
    <x v="3"/>
  </r>
  <r>
    <s v="ORD-01194"/>
    <x v="36"/>
    <x v="33"/>
    <x v="1"/>
    <x v="0"/>
    <x v="1"/>
    <x v="1"/>
    <n v="7"/>
    <n v="82.7"/>
    <x v="0"/>
    <x v="37"/>
    <x v="0"/>
  </r>
  <r>
    <s v="ORD-01322"/>
    <x v="37"/>
    <x v="34"/>
    <x v="5"/>
    <x v="4"/>
    <x v="4"/>
    <x v="3"/>
    <n v="29"/>
    <n v="360.54"/>
    <x v="4"/>
    <x v="38"/>
    <x v="1"/>
  </r>
  <r>
    <s v="ORD-01238"/>
    <x v="38"/>
    <x v="35"/>
    <x v="10"/>
    <x v="3"/>
    <x v="4"/>
    <x v="3"/>
    <n v="50"/>
    <n v="299.25"/>
    <x v="0"/>
    <x v="39"/>
    <x v="0"/>
  </r>
  <r>
    <s v="ORD-01091"/>
    <x v="39"/>
    <x v="36"/>
    <x v="2"/>
    <x v="0"/>
    <x v="1"/>
    <x v="1"/>
    <n v="29"/>
    <n v="87.94"/>
    <x v="3"/>
    <x v="40"/>
    <x v="3"/>
  </r>
  <r>
    <s v="ORD-01353"/>
    <x v="40"/>
    <x v="37"/>
    <x v="7"/>
    <x v="2"/>
    <x v="2"/>
    <x v="2"/>
    <n v="13"/>
    <n v="111.03"/>
    <x v="0"/>
    <x v="41"/>
    <x v="0"/>
  </r>
  <r>
    <s v="ORD-01139"/>
    <x v="41"/>
    <x v="38"/>
    <x v="0"/>
    <x v="2"/>
    <x v="1"/>
    <x v="1"/>
    <n v="4"/>
    <n v="76.5"/>
    <x v="5"/>
    <x v="42"/>
    <x v="3"/>
  </r>
  <r>
    <s v="ORD-01102"/>
    <x v="10"/>
    <x v="39"/>
    <x v="4"/>
    <x v="0"/>
    <x v="6"/>
    <x v="1"/>
    <n v="24"/>
    <n v="32.99"/>
    <x v="0"/>
    <x v="43"/>
    <x v="0"/>
  </r>
  <r>
    <s v="ORD-01464"/>
    <x v="42"/>
    <x v="40"/>
    <x v="7"/>
    <x v="1"/>
    <x v="4"/>
    <x v="3"/>
    <n v="37"/>
    <n v="365.32"/>
    <x v="5"/>
    <x v="44"/>
    <x v="3"/>
  </r>
  <r>
    <s v="ORD-01345"/>
    <x v="43"/>
    <x v="41"/>
    <x v="7"/>
    <x v="1"/>
    <x v="2"/>
    <x v="2"/>
    <n v="17"/>
    <n v="129.75"/>
    <x v="0"/>
    <x v="45"/>
    <x v="0"/>
  </r>
  <r>
    <s v="ORD-01327"/>
    <x v="44"/>
    <x v="42"/>
    <x v="8"/>
    <x v="2"/>
    <x v="3"/>
    <x v="1"/>
    <n v="34"/>
    <n v="47.85"/>
    <x v="0"/>
    <x v="46"/>
    <x v="0"/>
  </r>
  <r>
    <s v="ORD-01362"/>
    <x v="45"/>
    <x v="43"/>
    <x v="2"/>
    <x v="1"/>
    <x v="5"/>
    <x v="4"/>
    <n v="44"/>
    <n v="502.17"/>
    <x v="4"/>
    <x v="47"/>
    <x v="1"/>
  </r>
  <r>
    <s v="ORD-01156"/>
    <x v="46"/>
    <x v="44"/>
    <x v="9"/>
    <x v="1"/>
    <x v="3"/>
    <x v="1"/>
    <n v="10"/>
    <n v="49.55"/>
    <x v="0"/>
    <x v="48"/>
    <x v="0"/>
  </r>
  <r>
    <s v="ORD-01370"/>
    <x v="47"/>
    <x v="45"/>
    <x v="7"/>
    <x v="3"/>
    <x v="0"/>
    <x v="0"/>
    <n v="19"/>
    <n v="101.47"/>
    <x v="0"/>
    <x v="49"/>
    <x v="0"/>
  </r>
  <r>
    <s v="ORD-01299"/>
    <x v="48"/>
    <x v="46"/>
    <x v="9"/>
    <x v="3"/>
    <x v="7"/>
    <x v="3"/>
    <n v="11"/>
    <n v="1322.07"/>
    <x v="0"/>
    <x v="50"/>
    <x v="0"/>
  </r>
  <r>
    <s v="ORD-01274"/>
    <x v="49"/>
    <x v="47"/>
    <x v="2"/>
    <x v="3"/>
    <x v="1"/>
    <x v="1"/>
    <n v="29"/>
    <n v="87.09"/>
    <x v="0"/>
    <x v="51"/>
    <x v="0"/>
  </r>
  <r>
    <s v="ORD-01413"/>
    <x v="50"/>
    <x v="48"/>
    <x v="4"/>
    <x v="1"/>
    <x v="6"/>
    <x v="1"/>
    <n v="30"/>
    <n v="36.78"/>
    <x v="0"/>
    <x v="52"/>
    <x v="0"/>
  </r>
  <r>
    <s v="ORD-01295"/>
    <x v="51"/>
    <x v="49"/>
    <x v="2"/>
    <x v="4"/>
    <x v="2"/>
    <x v="2"/>
    <n v="24"/>
    <n v="123.4"/>
    <x v="3"/>
    <x v="53"/>
    <x v="3"/>
  </r>
  <r>
    <s v="ORD-01290"/>
    <x v="52"/>
    <x v="50"/>
    <x v="6"/>
    <x v="3"/>
    <x v="2"/>
    <x v="2"/>
    <n v="4"/>
    <n v="1254.9000000000001"/>
    <x v="6"/>
    <x v="54"/>
    <x v="2"/>
  </r>
  <r>
    <s v="ORD-01361"/>
    <x v="53"/>
    <x v="51"/>
    <x v="6"/>
    <x v="2"/>
    <x v="4"/>
    <x v="3"/>
    <n v="6"/>
    <n v="305.38"/>
    <x v="4"/>
    <x v="55"/>
    <x v="1"/>
  </r>
  <r>
    <s v="ORD-01116"/>
    <x v="54"/>
    <x v="52"/>
    <x v="8"/>
    <x v="2"/>
    <x v="5"/>
    <x v="4"/>
    <n v="9"/>
    <n v="492.18"/>
    <x v="0"/>
    <x v="56"/>
    <x v="0"/>
  </r>
  <r>
    <s v="ORD-01469"/>
    <x v="55"/>
    <x v="53"/>
    <x v="6"/>
    <x v="0"/>
    <x v="3"/>
    <x v="1"/>
    <n v="42"/>
    <n v="42.4"/>
    <x v="5"/>
    <x v="57"/>
    <x v="3"/>
  </r>
  <r>
    <s v="ORD-01052"/>
    <x v="56"/>
    <x v="6"/>
    <x v="3"/>
    <x v="1"/>
    <x v="2"/>
    <x v="2"/>
    <n v="31"/>
    <n v="110.21"/>
    <x v="0"/>
    <x v="58"/>
    <x v="0"/>
  </r>
  <r>
    <s v="ORD-01409"/>
    <x v="57"/>
    <x v="54"/>
    <x v="2"/>
    <x v="3"/>
    <x v="1"/>
    <x v="1"/>
    <n v="21"/>
    <n v="864.9"/>
    <x v="7"/>
    <x v="59"/>
    <x v="2"/>
  </r>
  <r>
    <s v="ORD-01499"/>
    <x v="58"/>
    <x v="55"/>
    <x v="10"/>
    <x v="4"/>
    <x v="6"/>
    <x v="1"/>
    <n v="31"/>
    <n v="31.65"/>
    <x v="5"/>
    <x v="60"/>
    <x v="3"/>
  </r>
  <r>
    <s v="ORD-01311"/>
    <x v="59"/>
    <x v="56"/>
    <x v="6"/>
    <x v="4"/>
    <x v="7"/>
    <x v="3"/>
    <n v="24"/>
    <n v="1360.13"/>
    <x v="4"/>
    <x v="61"/>
    <x v="1"/>
  </r>
  <r>
    <s v="ORD-01061"/>
    <x v="29"/>
    <x v="57"/>
    <x v="9"/>
    <x v="1"/>
    <x v="1"/>
    <x v="1"/>
    <n v="50"/>
    <n v="87.9"/>
    <x v="4"/>
    <x v="62"/>
    <x v="1"/>
  </r>
  <r>
    <s v="ORD-01265"/>
    <x v="60"/>
    <x v="58"/>
    <x v="3"/>
    <x v="3"/>
    <x v="3"/>
    <x v="1"/>
    <n v="35"/>
    <n v="48.91"/>
    <x v="0"/>
    <x v="63"/>
    <x v="0"/>
  </r>
  <r>
    <s v="ORD-01165"/>
    <x v="61"/>
    <x v="59"/>
    <x v="1"/>
    <x v="4"/>
    <x v="3"/>
    <x v="1"/>
    <n v="12"/>
    <n v="46.56"/>
    <x v="1"/>
    <x v="64"/>
    <x v="1"/>
  </r>
  <r>
    <s v="ORD-01459"/>
    <x v="62"/>
    <x v="60"/>
    <x v="5"/>
    <x v="0"/>
    <x v="4"/>
    <x v="3"/>
    <n v="43"/>
    <n v="327.94"/>
    <x v="4"/>
    <x v="65"/>
    <x v="1"/>
  </r>
  <r>
    <s v="ORD-01424"/>
    <x v="63"/>
    <x v="61"/>
    <x v="10"/>
    <x v="2"/>
    <x v="5"/>
    <x v="4"/>
    <n v="9"/>
    <n v="510.43"/>
    <x v="0"/>
    <x v="66"/>
    <x v="0"/>
  </r>
  <r>
    <s v="ORD-01133"/>
    <x v="25"/>
    <x v="62"/>
    <x v="5"/>
    <x v="1"/>
    <x v="5"/>
    <x v="4"/>
    <n v="8"/>
    <n v="477.37"/>
    <x v="3"/>
    <x v="67"/>
    <x v="3"/>
  </r>
  <r>
    <s v="ORD-01325"/>
    <x v="64"/>
    <x v="63"/>
    <x v="8"/>
    <x v="3"/>
    <x v="0"/>
    <x v="0"/>
    <n v="37"/>
    <n v="101.22"/>
    <x v="0"/>
    <x v="68"/>
    <x v="0"/>
  </r>
  <r>
    <s v="ORD-01214"/>
    <x v="65"/>
    <x v="64"/>
    <x v="0"/>
    <x v="3"/>
    <x v="7"/>
    <x v="3"/>
    <n v="9"/>
    <n v="1376.73"/>
    <x v="4"/>
    <x v="69"/>
    <x v="1"/>
  </r>
  <r>
    <s v="ORD-01083"/>
    <x v="66"/>
    <x v="65"/>
    <x v="1"/>
    <x v="2"/>
    <x v="2"/>
    <x v="2"/>
    <n v="11"/>
    <n v="123.97"/>
    <x v="5"/>
    <x v="70"/>
    <x v="3"/>
  </r>
  <r>
    <s v="ORD-01444"/>
    <x v="67"/>
    <x v="66"/>
    <x v="1"/>
    <x v="3"/>
    <x v="2"/>
    <x v="2"/>
    <n v="36"/>
    <n v="133.19"/>
    <x v="4"/>
    <x v="71"/>
    <x v="1"/>
  </r>
  <r>
    <s v="ORD-01434"/>
    <x v="68"/>
    <x v="67"/>
    <x v="4"/>
    <x v="4"/>
    <x v="6"/>
    <x v="1"/>
    <n v="21"/>
    <n v="38.29"/>
    <x v="0"/>
    <x v="72"/>
    <x v="0"/>
  </r>
  <r>
    <s v="ORD-01240"/>
    <x v="69"/>
    <x v="68"/>
    <x v="5"/>
    <x v="2"/>
    <x v="3"/>
    <x v="1"/>
    <n v="42"/>
    <n v="43.29"/>
    <x v="3"/>
    <x v="73"/>
    <x v="3"/>
  </r>
  <r>
    <s v="ORD-01169"/>
    <x v="66"/>
    <x v="69"/>
    <x v="1"/>
    <x v="4"/>
    <x v="1"/>
    <x v="1"/>
    <n v="34"/>
    <n v="84.31"/>
    <x v="0"/>
    <x v="74"/>
    <x v="0"/>
  </r>
  <r>
    <s v="ORD-01302"/>
    <x v="70"/>
    <x v="70"/>
    <x v="7"/>
    <x v="0"/>
    <x v="1"/>
    <x v="1"/>
    <n v="39"/>
    <n v="88.33"/>
    <x v="0"/>
    <x v="75"/>
    <x v="0"/>
  </r>
  <r>
    <s v="ORD-01031"/>
    <x v="71"/>
    <x v="71"/>
    <x v="1"/>
    <x v="4"/>
    <x v="4"/>
    <x v="3"/>
    <n v="50"/>
    <n v="363.62"/>
    <x v="4"/>
    <x v="76"/>
    <x v="1"/>
  </r>
  <r>
    <s v="ORD-01023"/>
    <x v="72"/>
    <x v="72"/>
    <x v="2"/>
    <x v="0"/>
    <x v="4"/>
    <x v="3"/>
    <n v="40"/>
    <n v="334.21"/>
    <x v="0"/>
    <x v="77"/>
    <x v="0"/>
  </r>
  <r>
    <s v="ORD-01343"/>
    <x v="73"/>
    <x v="73"/>
    <x v="6"/>
    <x v="1"/>
    <x v="4"/>
    <x v="3"/>
    <n v="17"/>
    <n v="310.05"/>
    <x v="0"/>
    <x v="78"/>
    <x v="0"/>
  </r>
  <r>
    <s v="ORD-01032"/>
    <x v="74"/>
    <x v="74"/>
    <x v="6"/>
    <x v="1"/>
    <x v="5"/>
    <x v="4"/>
    <n v="40"/>
    <n v="461.86"/>
    <x v="0"/>
    <x v="79"/>
    <x v="0"/>
  </r>
  <r>
    <s v="ORD-01228"/>
    <x v="20"/>
    <x v="75"/>
    <x v="1"/>
    <x v="4"/>
    <x v="7"/>
    <x v="3"/>
    <n v="26"/>
    <n v="1250.33"/>
    <x v="5"/>
    <x v="80"/>
    <x v="3"/>
  </r>
  <r>
    <s v="ORD-01053"/>
    <x v="75"/>
    <x v="76"/>
    <x v="1"/>
    <x v="0"/>
    <x v="6"/>
    <x v="1"/>
    <n v="13"/>
    <n v="35.909999999999997"/>
    <x v="3"/>
    <x v="81"/>
    <x v="3"/>
  </r>
  <r>
    <s v="ORD-01485"/>
    <x v="76"/>
    <x v="77"/>
    <x v="7"/>
    <x v="3"/>
    <x v="6"/>
    <x v="1"/>
    <n v="42"/>
    <n v="31.58"/>
    <x v="0"/>
    <x v="82"/>
    <x v="0"/>
  </r>
  <r>
    <s v="ORD-01268"/>
    <x v="77"/>
    <x v="78"/>
    <x v="3"/>
    <x v="2"/>
    <x v="1"/>
    <x v="1"/>
    <n v="7"/>
    <n v="82.98"/>
    <x v="1"/>
    <x v="83"/>
    <x v="1"/>
  </r>
  <r>
    <s v="ORD-01246"/>
    <x v="78"/>
    <x v="79"/>
    <x v="8"/>
    <x v="2"/>
    <x v="3"/>
    <x v="1"/>
    <n v="26"/>
    <n v="48.63"/>
    <x v="5"/>
    <x v="84"/>
    <x v="3"/>
  </r>
  <r>
    <s v="ORD-01239"/>
    <x v="79"/>
    <x v="80"/>
    <x v="3"/>
    <x v="3"/>
    <x v="5"/>
    <x v="4"/>
    <n v="4"/>
    <n v="441.41"/>
    <x v="0"/>
    <x v="85"/>
    <x v="0"/>
  </r>
  <r>
    <s v="ORD-01057"/>
    <x v="80"/>
    <x v="81"/>
    <x v="3"/>
    <x v="4"/>
    <x v="0"/>
    <x v="0"/>
    <n v="29"/>
    <n v="101.66"/>
    <x v="1"/>
    <x v="86"/>
    <x v="1"/>
  </r>
  <r>
    <s v="ORD-01477"/>
    <x v="81"/>
    <x v="82"/>
    <x v="5"/>
    <x v="1"/>
    <x v="2"/>
    <x v="2"/>
    <n v="27"/>
    <n v="133.4"/>
    <x v="5"/>
    <x v="87"/>
    <x v="3"/>
  </r>
  <r>
    <s v="ORD-01003"/>
    <x v="82"/>
    <x v="83"/>
    <x v="5"/>
    <x v="2"/>
    <x v="2"/>
    <x v="2"/>
    <n v="14"/>
    <n v="117.38"/>
    <x v="3"/>
    <x v="88"/>
    <x v="3"/>
  </r>
  <r>
    <s v="ORD-01059"/>
    <x v="83"/>
    <x v="33"/>
    <x v="7"/>
    <x v="4"/>
    <x v="2"/>
    <x v="2"/>
    <n v="50"/>
    <n v="137.25"/>
    <x v="0"/>
    <x v="89"/>
    <x v="0"/>
  </r>
  <r>
    <s v="ORD-01371"/>
    <x v="84"/>
    <x v="84"/>
    <x v="5"/>
    <x v="2"/>
    <x v="4"/>
    <x v="3"/>
    <n v="20"/>
    <n v="313.64999999999998"/>
    <x v="4"/>
    <x v="90"/>
    <x v="1"/>
  </r>
  <r>
    <s v="ORD-01260"/>
    <x v="85"/>
    <x v="85"/>
    <x v="5"/>
    <x v="2"/>
    <x v="3"/>
    <x v="1"/>
    <n v="28"/>
    <n v="43.82"/>
    <x v="0"/>
    <x v="91"/>
    <x v="0"/>
  </r>
  <r>
    <s v="ORD-01264"/>
    <x v="56"/>
    <x v="86"/>
    <x v="5"/>
    <x v="2"/>
    <x v="5"/>
    <x v="4"/>
    <n v="12"/>
    <n v="422.23"/>
    <x v="4"/>
    <x v="92"/>
    <x v="1"/>
  </r>
  <r>
    <s v="ORD-01307"/>
    <x v="86"/>
    <x v="87"/>
    <x v="3"/>
    <x v="2"/>
    <x v="1"/>
    <x v="1"/>
    <n v="5"/>
    <n v="73.28"/>
    <x v="0"/>
    <x v="93"/>
    <x v="0"/>
  </r>
  <r>
    <s v="ORD-01075"/>
    <x v="29"/>
    <x v="88"/>
    <x v="2"/>
    <x v="2"/>
    <x v="5"/>
    <x v="4"/>
    <n v="36"/>
    <n v="441.9"/>
    <x v="0"/>
    <x v="94"/>
    <x v="0"/>
  </r>
  <r>
    <s v="ORD-01476"/>
    <x v="15"/>
    <x v="6"/>
    <x v="3"/>
    <x v="3"/>
    <x v="0"/>
    <x v="0"/>
    <n v="37"/>
    <n v="86.3"/>
    <x v="4"/>
    <x v="95"/>
    <x v="1"/>
  </r>
  <r>
    <s v="ORD-01404"/>
    <x v="87"/>
    <x v="89"/>
    <x v="4"/>
    <x v="2"/>
    <x v="5"/>
    <x v="4"/>
    <n v="50"/>
    <n v="427.88"/>
    <x v="1"/>
    <x v="96"/>
    <x v="1"/>
  </r>
  <r>
    <s v="ORD-01418"/>
    <x v="27"/>
    <x v="90"/>
    <x v="6"/>
    <x v="0"/>
    <x v="4"/>
    <x v="3"/>
    <n v="50"/>
    <n v="332.71"/>
    <x v="3"/>
    <x v="97"/>
    <x v="3"/>
  </r>
  <r>
    <s v="ORD-01205"/>
    <x v="33"/>
    <x v="5"/>
    <x v="4"/>
    <x v="1"/>
    <x v="1"/>
    <x v="1"/>
    <n v="42"/>
    <n v="90.73"/>
    <x v="0"/>
    <x v="98"/>
    <x v="0"/>
  </r>
  <r>
    <s v="ORD-01081"/>
    <x v="88"/>
    <x v="91"/>
    <x v="9"/>
    <x v="2"/>
    <x v="6"/>
    <x v="1"/>
    <n v="6"/>
    <n v="34.44"/>
    <x v="4"/>
    <x v="99"/>
    <x v="1"/>
  </r>
  <r>
    <s v="ORD-01233"/>
    <x v="89"/>
    <x v="92"/>
    <x v="6"/>
    <x v="1"/>
    <x v="5"/>
    <x v="4"/>
    <n v="49"/>
    <n v="498.04"/>
    <x v="0"/>
    <x v="100"/>
    <x v="0"/>
  </r>
  <r>
    <s v="ORD-01027"/>
    <x v="90"/>
    <x v="93"/>
    <x v="7"/>
    <x v="0"/>
    <x v="3"/>
    <x v="1"/>
    <n v="10"/>
    <n v="46.29"/>
    <x v="0"/>
    <x v="101"/>
    <x v="0"/>
  </r>
  <r>
    <s v="ORD-01452"/>
    <x v="91"/>
    <x v="94"/>
    <x v="2"/>
    <x v="2"/>
    <x v="2"/>
    <x v="2"/>
    <n v="33"/>
    <n v="136.04"/>
    <x v="0"/>
    <x v="102"/>
    <x v="0"/>
  </r>
  <r>
    <s v="ORD-01203"/>
    <x v="92"/>
    <x v="95"/>
    <x v="8"/>
    <x v="1"/>
    <x v="5"/>
    <x v="4"/>
    <n v="35"/>
    <n v="449.66"/>
    <x v="0"/>
    <x v="103"/>
    <x v="0"/>
  </r>
  <r>
    <s v="ORD-01121"/>
    <x v="21"/>
    <x v="16"/>
    <x v="8"/>
    <x v="2"/>
    <x v="1"/>
    <x v="1"/>
    <n v="40"/>
    <n v="74.760000000000005"/>
    <x v="4"/>
    <x v="104"/>
    <x v="1"/>
  </r>
  <r>
    <s v="ORD-01074"/>
    <x v="93"/>
    <x v="96"/>
    <x v="0"/>
    <x v="0"/>
    <x v="2"/>
    <x v="2"/>
    <n v="24"/>
    <n v="123.47"/>
    <x v="0"/>
    <x v="105"/>
    <x v="0"/>
  </r>
  <r>
    <s v="ORD-01461"/>
    <x v="94"/>
    <x v="97"/>
    <x v="6"/>
    <x v="4"/>
    <x v="3"/>
    <x v="1"/>
    <n v="47"/>
    <n v="48.2"/>
    <x v="1"/>
    <x v="106"/>
    <x v="1"/>
  </r>
  <r>
    <s v="ORD-01160"/>
    <x v="95"/>
    <x v="35"/>
    <x v="6"/>
    <x v="3"/>
    <x v="3"/>
    <x v="1"/>
    <n v="40"/>
    <n v="44.4"/>
    <x v="0"/>
    <x v="107"/>
    <x v="0"/>
  </r>
  <r>
    <s v="ORD-01257"/>
    <x v="96"/>
    <x v="78"/>
    <x v="8"/>
    <x v="1"/>
    <x v="6"/>
    <x v="1"/>
    <n v="18"/>
    <n v="34.22"/>
    <x v="1"/>
    <x v="108"/>
    <x v="1"/>
  </r>
  <r>
    <s v="ORD-01051"/>
    <x v="97"/>
    <x v="98"/>
    <x v="10"/>
    <x v="4"/>
    <x v="4"/>
    <x v="3"/>
    <n v="20"/>
    <n v="332.26"/>
    <x v="0"/>
    <x v="109"/>
    <x v="0"/>
  </r>
  <r>
    <s v="ORD-01381"/>
    <x v="6"/>
    <x v="99"/>
    <x v="9"/>
    <x v="0"/>
    <x v="2"/>
    <x v="2"/>
    <n v="8"/>
    <n v="126.78"/>
    <x v="8"/>
    <x v="110"/>
    <x v="1"/>
  </r>
  <r>
    <s v="ORD-01296"/>
    <x v="98"/>
    <x v="100"/>
    <x v="2"/>
    <x v="2"/>
    <x v="1"/>
    <x v="1"/>
    <n v="33"/>
    <n v="81.14"/>
    <x v="0"/>
    <x v="111"/>
    <x v="0"/>
  </r>
  <r>
    <s v="ORD-01015"/>
    <x v="99"/>
    <x v="101"/>
    <x v="2"/>
    <x v="4"/>
    <x v="7"/>
    <x v="3"/>
    <n v="50"/>
    <n v="1109.04"/>
    <x v="0"/>
    <x v="112"/>
    <x v="0"/>
  </r>
  <r>
    <s v="ORD-01331"/>
    <x v="100"/>
    <x v="70"/>
    <x v="6"/>
    <x v="3"/>
    <x v="4"/>
    <x v="3"/>
    <n v="42"/>
    <n v="330.31"/>
    <x v="3"/>
    <x v="113"/>
    <x v="3"/>
  </r>
  <r>
    <s v="ORD-01221"/>
    <x v="101"/>
    <x v="102"/>
    <x v="9"/>
    <x v="0"/>
    <x v="1"/>
    <x v="1"/>
    <n v="13"/>
    <n v="74.25"/>
    <x v="3"/>
    <x v="114"/>
    <x v="3"/>
  </r>
  <r>
    <s v="ORD-01115"/>
    <x v="102"/>
    <x v="41"/>
    <x v="9"/>
    <x v="2"/>
    <x v="1"/>
    <x v="1"/>
    <n v="45"/>
    <n v="80.209999999999994"/>
    <x v="5"/>
    <x v="115"/>
    <x v="3"/>
  </r>
  <r>
    <s v="ORD-01146"/>
    <x v="103"/>
    <x v="14"/>
    <x v="8"/>
    <x v="3"/>
    <x v="0"/>
    <x v="0"/>
    <n v="8"/>
    <n v="93.78"/>
    <x v="1"/>
    <x v="116"/>
    <x v="1"/>
  </r>
  <r>
    <s v="ORD-01004"/>
    <x v="52"/>
    <x v="103"/>
    <x v="10"/>
    <x v="3"/>
    <x v="3"/>
    <x v="1"/>
    <n v="22"/>
    <n v="48.58"/>
    <x v="0"/>
    <x v="117"/>
    <x v="0"/>
  </r>
  <r>
    <s v="ORD-01386"/>
    <x v="104"/>
    <x v="104"/>
    <x v="8"/>
    <x v="3"/>
    <x v="1"/>
    <x v="1"/>
    <n v="2"/>
    <n v="85.43"/>
    <x v="0"/>
    <x v="118"/>
    <x v="0"/>
  </r>
  <r>
    <s v="ORD-01060"/>
    <x v="105"/>
    <x v="105"/>
    <x v="0"/>
    <x v="3"/>
    <x v="5"/>
    <x v="4"/>
    <n v="19"/>
    <n v="449.31"/>
    <x v="0"/>
    <x v="119"/>
    <x v="0"/>
  </r>
  <r>
    <s v="ORD-01278"/>
    <x v="46"/>
    <x v="106"/>
    <x v="2"/>
    <x v="4"/>
    <x v="1"/>
    <x v="1"/>
    <n v="11"/>
    <n v="86.08"/>
    <x v="5"/>
    <x v="120"/>
    <x v="3"/>
  </r>
  <r>
    <s v="ORD-01166"/>
    <x v="106"/>
    <x v="107"/>
    <x v="8"/>
    <x v="1"/>
    <x v="2"/>
    <x v="2"/>
    <n v="43"/>
    <n v="135.99"/>
    <x v="0"/>
    <x v="121"/>
    <x v="0"/>
  </r>
  <r>
    <s v="ORD-01275"/>
    <x v="107"/>
    <x v="108"/>
    <x v="5"/>
    <x v="1"/>
    <x v="2"/>
    <x v="2"/>
    <n v="39"/>
    <n v="134.19"/>
    <x v="3"/>
    <x v="122"/>
    <x v="3"/>
  </r>
  <r>
    <s v="ORD-01099"/>
    <x v="108"/>
    <x v="109"/>
    <x v="6"/>
    <x v="3"/>
    <x v="5"/>
    <x v="4"/>
    <n v="16"/>
    <n v="469.98"/>
    <x v="0"/>
    <x v="123"/>
    <x v="0"/>
  </r>
  <r>
    <s v="ORD-01439"/>
    <x v="66"/>
    <x v="110"/>
    <x v="5"/>
    <x v="2"/>
    <x v="1"/>
    <x v="1"/>
    <n v="19"/>
    <n v="82.26"/>
    <x v="0"/>
    <x v="124"/>
    <x v="0"/>
  </r>
  <r>
    <s v="ORD-01041"/>
    <x v="34"/>
    <x v="111"/>
    <x v="9"/>
    <x v="0"/>
    <x v="2"/>
    <x v="2"/>
    <n v="16"/>
    <n v="124.1"/>
    <x v="4"/>
    <x v="125"/>
    <x v="1"/>
  </r>
  <r>
    <s v="ORD-01391"/>
    <x v="22"/>
    <x v="112"/>
    <x v="9"/>
    <x v="3"/>
    <x v="2"/>
    <x v="2"/>
    <n v="30"/>
    <n v="1192.9000000000001"/>
    <x v="6"/>
    <x v="126"/>
    <x v="2"/>
  </r>
  <r>
    <s v="ORD-01042"/>
    <x v="78"/>
    <x v="113"/>
    <x v="4"/>
    <x v="3"/>
    <x v="0"/>
    <x v="0"/>
    <n v="29"/>
    <n v="105.62"/>
    <x v="0"/>
    <x v="127"/>
    <x v="0"/>
  </r>
  <r>
    <s v="ORD-01301"/>
    <x v="109"/>
    <x v="91"/>
    <x v="4"/>
    <x v="4"/>
    <x v="5"/>
    <x v="4"/>
    <n v="10"/>
    <n v="449.54"/>
    <x v="0"/>
    <x v="128"/>
    <x v="0"/>
  </r>
  <r>
    <s v="ORD-01207"/>
    <x v="110"/>
    <x v="37"/>
    <x v="7"/>
    <x v="1"/>
    <x v="6"/>
    <x v="1"/>
    <n v="50"/>
    <n v="39.6"/>
    <x v="8"/>
    <x v="129"/>
    <x v="1"/>
  </r>
  <r>
    <s v="ORD-01237"/>
    <x v="40"/>
    <x v="3"/>
    <x v="7"/>
    <x v="0"/>
    <x v="3"/>
    <x v="1"/>
    <n v="23"/>
    <n v="42.58"/>
    <x v="5"/>
    <x v="130"/>
    <x v="3"/>
  </r>
  <r>
    <s v="ORD-01080"/>
    <x v="111"/>
    <x v="114"/>
    <x v="9"/>
    <x v="1"/>
    <x v="4"/>
    <x v="3"/>
    <n v="19"/>
    <n v="311.94"/>
    <x v="0"/>
    <x v="131"/>
    <x v="0"/>
  </r>
  <r>
    <s v="ORD-01029"/>
    <x v="112"/>
    <x v="115"/>
    <x v="8"/>
    <x v="0"/>
    <x v="5"/>
    <x v="4"/>
    <n v="12"/>
    <n v="439.71"/>
    <x v="0"/>
    <x v="132"/>
    <x v="0"/>
  </r>
  <r>
    <s v="ORD-01430"/>
    <x v="113"/>
    <x v="116"/>
    <x v="5"/>
    <x v="2"/>
    <x v="3"/>
    <x v="1"/>
    <n v="10"/>
    <n v="47.3"/>
    <x v="1"/>
    <x v="133"/>
    <x v="1"/>
  </r>
  <r>
    <s v="ORD-01359"/>
    <x v="114"/>
    <x v="71"/>
    <x v="7"/>
    <x v="2"/>
    <x v="0"/>
    <x v="0"/>
    <n v="46"/>
    <n v="95.05"/>
    <x v="1"/>
    <x v="134"/>
    <x v="1"/>
  </r>
  <r>
    <s v="ORD-01247"/>
    <x v="66"/>
    <x v="98"/>
    <x v="2"/>
    <x v="4"/>
    <x v="0"/>
    <x v="0"/>
    <n v="48"/>
    <n v="85.77"/>
    <x v="5"/>
    <x v="135"/>
    <x v="3"/>
  </r>
  <r>
    <s v="ORD-01284"/>
    <x v="115"/>
    <x v="117"/>
    <x v="7"/>
    <x v="1"/>
    <x v="2"/>
    <x v="2"/>
    <n v="47"/>
    <n v="125.18"/>
    <x v="0"/>
    <x v="136"/>
    <x v="0"/>
  </r>
  <r>
    <s v="ORD-01058"/>
    <x v="106"/>
    <x v="6"/>
    <x v="5"/>
    <x v="1"/>
    <x v="3"/>
    <x v="1"/>
    <n v="30"/>
    <n v="41.84"/>
    <x v="0"/>
    <x v="137"/>
    <x v="0"/>
  </r>
  <r>
    <s v="ORD-01400"/>
    <x v="116"/>
    <x v="118"/>
    <x v="4"/>
    <x v="2"/>
    <x v="1"/>
    <x v="1"/>
    <n v="47"/>
    <n v="91.36"/>
    <x v="3"/>
    <x v="138"/>
    <x v="3"/>
  </r>
  <r>
    <s v="ORD-01063"/>
    <x v="112"/>
    <x v="119"/>
    <x v="4"/>
    <x v="3"/>
    <x v="1"/>
    <x v="1"/>
    <n v="33"/>
    <n v="90.78"/>
    <x v="5"/>
    <x v="139"/>
    <x v="3"/>
  </r>
  <r>
    <s v="ORD-01383"/>
    <x v="117"/>
    <x v="118"/>
    <x v="9"/>
    <x v="1"/>
    <x v="3"/>
    <x v="1"/>
    <n v="9"/>
    <n v="46.08"/>
    <x v="0"/>
    <x v="140"/>
    <x v="0"/>
  </r>
  <r>
    <s v="ORD-01112"/>
    <x v="118"/>
    <x v="120"/>
    <x v="8"/>
    <x v="0"/>
    <x v="6"/>
    <x v="1"/>
    <n v="3"/>
    <n v="34.24"/>
    <x v="1"/>
    <x v="141"/>
    <x v="1"/>
  </r>
  <r>
    <s v="ORD-01085"/>
    <x v="119"/>
    <x v="121"/>
    <x v="7"/>
    <x v="3"/>
    <x v="3"/>
    <x v="1"/>
    <n v="29"/>
    <n v="43.87"/>
    <x v="0"/>
    <x v="142"/>
    <x v="0"/>
  </r>
  <r>
    <s v="ORD-01364"/>
    <x v="5"/>
    <x v="118"/>
    <x v="4"/>
    <x v="2"/>
    <x v="3"/>
    <x v="1"/>
    <n v="43"/>
    <n v="46.17"/>
    <x v="0"/>
    <x v="143"/>
    <x v="0"/>
  </r>
  <r>
    <s v="ORD-01465"/>
    <x v="108"/>
    <x v="122"/>
    <x v="7"/>
    <x v="0"/>
    <x v="0"/>
    <x v="0"/>
    <n v="3"/>
    <n v="100.74"/>
    <x v="5"/>
    <x v="144"/>
    <x v="3"/>
  </r>
  <r>
    <s v="ORD-01147"/>
    <x v="120"/>
    <x v="123"/>
    <x v="5"/>
    <x v="4"/>
    <x v="6"/>
    <x v="1"/>
    <n v="32"/>
    <n v="39.67"/>
    <x v="0"/>
    <x v="145"/>
    <x v="0"/>
  </r>
  <r>
    <s v="ORD-01189"/>
    <x v="121"/>
    <x v="124"/>
    <x v="5"/>
    <x v="2"/>
    <x v="3"/>
    <x v="1"/>
    <n v="23"/>
    <n v="44.11"/>
    <x v="0"/>
    <x v="146"/>
    <x v="0"/>
  </r>
  <r>
    <s v="ORD-01130"/>
    <x v="122"/>
    <x v="125"/>
    <x v="8"/>
    <x v="3"/>
    <x v="7"/>
    <x v="3"/>
    <n v="39"/>
    <n v="1186.29"/>
    <x v="0"/>
    <x v="147"/>
    <x v="0"/>
  </r>
  <r>
    <s v="ORD-01213"/>
    <x v="22"/>
    <x v="126"/>
    <x v="6"/>
    <x v="2"/>
    <x v="4"/>
    <x v="3"/>
    <n v="12"/>
    <n v="310.76"/>
    <x v="4"/>
    <x v="148"/>
    <x v="1"/>
  </r>
  <r>
    <s v="ORD-01097"/>
    <x v="99"/>
    <x v="127"/>
    <x v="0"/>
    <x v="4"/>
    <x v="1"/>
    <x v="1"/>
    <n v="33"/>
    <n v="87.66"/>
    <x v="3"/>
    <x v="149"/>
    <x v="3"/>
  </r>
  <r>
    <s v="ORD-01379"/>
    <x v="123"/>
    <x v="35"/>
    <x v="6"/>
    <x v="1"/>
    <x v="0"/>
    <x v="0"/>
    <n v="33"/>
    <n v="106.39"/>
    <x v="1"/>
    <x v="150"/>
    <x v="1"/>
  </r>
  <r>
    <s v="ORD-01323"/>
    <x v="124"/>
    <x v="128"/>
    <x v="10"/>
    <x v="0"/>
    <x v="7"/>
    <x v="3"/>
    <n v="49"/>
    <n v="1192.69"/>
    <x v="1"/>
    <x v="151"/>
    <x v="1"/>
  </r>
  <r>
    <s v="ORD-01474"/>
    <x v="116"/>
    <x v="112"/>
    <x v="7"/>
    <x v="4"/>
    <x v="6"/>
    <x v="1"/>
    <n v="14"/>
    <n v="37.119999999999997"/>
    <x v="5"/>
    <x v="152"/>
    <x v="3"/>
  </r>
  <r>
    <s v="ORD-01142"/>
    <x v="23"/>
    <x v="46"/>
    <x v="10"/>
    <x v="3"/>
    <x v="3"/>
    <x v="1"/>
    <n v="41"/>
    <n v="43.75"/>
    <x v="0"/>
    <x v="153"/>
    <x v="0"/>
  </r>
  <r>
    <s v="ORD-01458"/>
    <x v="125"/>
    <x v="129"/>
    <x v="1"/>
    <x v="0"/>
    <x v="3"/>
    <x v="1"/>
    <n v="11"/>
    <n v="49.88"/>
    <x v="0"/>
    <x v="154"/>
    <x v="0"/>
  </r>
  <r>
    <s v="ORD-01222"/>
    <x v="43"/>
    <x v="130"/>
    <x v="9"/>
    <x v="3"/>
    <x v="3"/>
    <x v="1"/>
    <n v="3"/>
    <n v="42.33"/>
    <x v="5"/>
    <x v="155"/>
    <x v="3"/>
  </r>
  <r>
    <s v="ORD-01217"/>
    <x v="126"/>
    <x v="24"/>
    <x v="6"/>
    <x v="4"/>
    <x v="6"/>
    <x v="1"/>
    <n v="50"/>
    <n v="39.71"/>
    <x v="0"/>
    <x v="156"/>
    <x v="0"/>
  </r>
  <r>
    <s v="ORD-01163"/>
    <x v="127"/>
    <x v="6"/>
    <x v="9"/>
    <x v="0"/>
    <x v="0"/>
    <x v="0"/>
    <n v="37"/>
    <n v="96.88"/>
    <x v="3"/>
    <x v="157"/>
    <x v="3"/>
  </r>
  <r>
    <s v="ORD-01494"/>
    <x v="128"/>
    <x v="119"/>
    <x v="1"/>
    <x v="1"/>
    <x v="4"/>
    <x v="3"/>
    <n v="45"/>
    <n v="332.13"/>
    <x v="0"/>
    <x v="158"/>
    <x v="0"/>
  </r>
  <r>
    <s v="ORD-01441"/>
    <x v="129"/>
    <x v="131"/>
    <x v="6"/>
    <x v="4"/>
    <x v="6"/>
    <x v="1"/>
    <n v="17"/>
    <n v="32.36"/>
    <x v="0"/>
    <x v="159"/>
    <x v="0"/>
  </r>
  <r>
    <s v="ORD-01241"/>
    <x v="126"/>
    <x v="93"/>
    <x v="3"/>
    <x v="4"/>
    <x v="7"/>
    <x v="3"/>
    <n v="22"/>
    <n v="1158.24"/>
    <x v="3"/>
    <x v="160"/>
    <x v="3"/>
  </r>
  <r>
    <s v="ORD-01342"/>
    <x v="49"/>
    <x v="132"/>
    <x v="1"/>
    <x v="3"/>
    <x v="3"/>
    <x v="1"/>
    <n v="8"/>
    <n v="44.39"/>
    <x v="5"/>
    <x v="161"/>
    <x v="3"/>
  </r>
  <r>
    <s v="ORD-01082"/>
    <x v="130"/>
    <x v="133"/>
    <x v="8"/>
    <x v="2"/>
    <x v="1"/>
    <x v="1"/>
    <n v="49"/>
    <n v="88.57"/>
    <x v="3"/>
    <x v="162"/>
    <x v="3"/>
  </r>
  <r>
    <s v="ORD-01492"/>
    <x v="131"/>
    <x v="134"/>
    <x v="6"/>
    <x v="0"/>
    <x v="1"/>
    <x v="1"/>
    <n v="30"/>
    <n v="81.760000000000005"/>
    <x v="0"/>
    <x v="163"/>
    <x v="0"/>
  </r>
  <r>
    <s v="ORD-01317"/>
    <x v="95"/>
    <x v="135"/>
    <x v="1"/>
    <x v="1"/>
    <x v="4"/>
    <x v="3"/>
    <n v="10"/>
    <n v="339.67"/>
    <x v="0"/>
    <x v="164"/>
    <x v="0"/>
  </r>
  <r>
    <s v="ORD-01188"/>
    <x v="33"/>
    <x v="136"/>
    <x v="5"/>
    <x v="4"/>
    <x v="3"/>
    <x v="1"/>
    <n v="5"/>
    <n v="51.34"/>
    <x v="4"/>
    <x v="165"/>
    <x v="1"/>
  </r>
  <r>
    <s v="ORD-01468"/>
    <x v="112"/>
    <x v="137"/>
    <x v="10"/>
    <x v="0"/>
    <x v="7"/>
    <x v="3"/>
    <n v="3"/>
    <n v="1318.49"/>
    <x v="0"/>
    <x v="166"/>
    <x v="0"/>
  </r>
  <r>
    <s v="ORD-01269"/>
    <x v="132"/>
    <x v="138"/>
    <x v="3"/>
    <x v="2"/>
    <x v="6"/>
    <x v="1"/>
    <n v="6"/>
    <n v="35.619999999999997"/>
    <x v="0"/>
    <x v="167"/>
    <x v="0"/>
  </r>
  <r>
    <s v="ORD-01180"/>
    <x v="110"/>
    <x v="139"/>
    <x v="9"/>
    <x v="2"/>
    <x v="4"/>
    <x v="3"/>
    <n v="3"/>
    <n v="288.41000000000003"/>
    <x v="0"/>
    <x v="168"/>
    <x v="0"/>
  </r>
  <r>
    <s v="ORD-01294"/>
    <x v="109"/>
    <x v="140"/>
    <x v="10"/>
    <x v="2"/>
    <x v="1"/>
    <x v="1"/>
    <n v="26"/>
    <n v="81.069999999999993"/>
    <x v="4"/>
    <x v="169"/>
    <x v="1"/>
  </r>
  <r>
    <s v="ORD-01054"/>
    <x v="2"/>
    <x v="141"/>
    <x v="9"/>
    <x v="4"/>
    <x v="0"/>
    <x v="0"/>
    <n v="24"/>
    <n v="103.65"/>
    <x v="0"/>
    <x v="170"/>
    <x v="0"/>
  </r>
  <r>
    <s v="ORD-01279"/>
    <x v="133"/>
    <x v="21"/>
    <x v="10"/>
    <x v="0"/>
    <x v="2"/>
    <x v="2"/>
    <n v="45"/>
    <n v="110.34"/>
    <x v="0"/>
    <x v="171"/>
    <x v="0"/>
  </r>
  <r>
    <s v="ORD-01140"/>
    <x v="92"/>
    <x v="142"/>
    <x v="2"/>
    <x v="3"/>
    <x v="2"/>
    <x v="2"/>
    <n v="16"/>
    <n v="137.19"/>
    <x v="0"/>
    <x v="172"/>
    <x v="0"/>
  </r>
  <r>
    <s v="ORD-01397"/>
    <x v="20"/>
    <x v="143"/>
    <x v="2"/>
    <x v="2"/>
    <x v="6"/>
    <x v="1"/>
    <n v="20"/>
    <n v="38.549999999999997"/>
    <x v="1"/>
    <x v="173"/>
    <x v="1"/>
  </r>
  <r>
    <s v="ORD-01281"/>
    <x v="134"/>
    <x v="144"/>
    <x v="0"/>
    <x v="1"/>
    <x v="3"/>
    <x v="1"/>
    <n v="23"/>
    <n v="41.19"/>
    <x v="0"/>
    <x v="174"/>
    <x v="0"/>
  </r>
  <r>
    <s v="ORD-01067"/>
    <x v="135"/>
    <x v="145"/>
    <x v="6"/>
    <x v="4"/>
    <x v="3"/>
    <x v="1"/>
    <n v="13"/>
    <n v="46.13"/>
    <x v="0"/>
    <x v="175"/>
    <x v="0"/>
  </r>
  <r>
    <s v="ORD-01414"/>
    <x v="136"/>
    <x v="146"/>
    <x v="3"/>
    <x v="2"/>
    <x v="5"/>
    <x v="4"/>
    <n v="44"/>
    <n v="5032.8"/>
    <x v="7"/>
    <x v="176"/>
    <x v="2"/>
  </r>
  <r>
    <s v="ORD-01262"/>
    <x v="137"/>
    <x v="126"/>
    <x v="1"/>
    <x v="2"/>
    <x v="1"/>
    <x v="1"/>
    <n v="28"/>
    <n v="76.38"/>
    <x v="4"/>
    <x v="177"/>
    <x v="1"/>
  </r>
  <r>
    <s v="ORD-01315"/>
    <x v="138"/>
    <x v="147"/>
    <x v="5"/>
    <x v="4"/>
    <x v="5"/>
    <x v="4"/>
    <n v="3"/>
    <n v="491.16"/>
    <x v="4"/>
    <x v="178"/>
    <x v="1"/>
  </r>
  <r>
    <s v="ORD-01223"/>
    <x v="139"/>
    <x v="54"/>
    <x v="9"/>
    <x v="4"/>
    <x v="2"/>
    <x v="2"/>
    <n v="13"/>
    <n v="121.77"/>
    <x v="4"/>
    <x v="179"/>
    <x v="1"/>
  </r>
  <r>
    <s v="ORD-01100"/>
    <x v="140"/>
    <x v="148"/>
    <x v="8"/>
    <x v="0"/>
    <x v="4"/>
    <x v="3"/>
    <n v="25"/>
    <n v="345.71"/>
    <x v="5"/>
    <x v="180"/>
    <x v="3"/>
  </r>
  <r>
    <s v="ORD-01479"/>
    <x v="141"/>
    <x v="149"/>
    <x v="6"/>
    <x v="4"/>
    <x v="4"/>
    <x v="3"/>
    <n v="41"/>
    <n v="341.46"/>
    <x v="4"/>
    <x v="181"/>
    <x v="1"/>
  </r>
  <r>
    <s v="ORD-01149"/>
    <x v="142"/>
    <x v="1"/>
    <x v="10"/>
    <x v="0"/>
    <x v="5"/>
    <x v="4"/>
    <n v="35"/>
    <n v="435.76"/>
    <x v="1"/>
    <x v="182"/>
    <x v="1"/>
  </r>
  <r>
    <s v="ORD-01016"/>
    <x v="119"/>
    <x v="58"/>
    <x v="9"/>
    <x v="1"/>
    <x v="3"/>
    <x v="1"/>
    <n v="35"/>
    <n v="43.76"/>
    <x v="5"/>
    <x v="183"/>
    <x v="3"/>
  </r>
  <r>
    <s v="ORD-01164"/>
    <x v="64"/>
    <x v="6"/>
    <x v="4"/>
    <x v="3"/>
    <x v="5"/>
    <x v="4"/>
    <n v="27"/>
    <n v="427.73"/>
    <x v="0"/>
    <x v="184"/>
    <x v="0"/>
  </r>
  <r>
    <s v="ORD-01419"/>
    <x v="143"/>
    <x v="150"/>
    <x v="1"/>
    <x v="4"/>
    <x v="6"/>
    <x v="1"/>
    <n v="36"/>
    <n v="35.69"/>
    <x v="5"/>
    <x v="185"/>
    <x v="3"/>
  </r>
  <r>
    <s v="ORD-01047"/>
    <x v="144"/>
    <x v="151"/>
    <x v="1"/>
    <x v="1"/>
    <x v="2"/>
    <x v="2"/>
    <n v="29"/>
    <n v="118.98"/>
    <x v="0"/>
    <x v="186"/>
    <x v="0"/>
  </r>
  <r>
    <s v="ORD-01087"/>
    <x v="145"/>
    <x v="152"/>
    <x v="6"/>
    <x v="0"/>
    <x v="4"/>
    <x v="3"/>
    <n v="10"/>
    <n v="317.47000000000003"/>
    <x v="1"/>
    <x v="187"/>
    <x v="1"/>
  </r>
  <r>
    <s v="ORD-01038"/>
    <x v="12"/>
    <x v="153"/>
    <x v="4"/>
    <x v="1"/>
    <x v="5"/>
    <x v="4"/>
    <n v="24"/>
    <n v="504.26"/>
    <x v="3"/>
    <x v="188"/>
    <x v="3"/>
  </r>
  <r>
    <s v="ORD-01417"/>
    <x v="146"/>
    <x v="154"/>
    <x v="10"/>
    <x v="2"/>
    <x v="3"/>
    <x v="1"/>
    <n v="9"/>
    <n v="48.65"/>
    <x v="1"/>
    <x v="189"/>
    <x v="1"/>
  </r>
  <r>
    <s v="ORD-01366"/>
    <x v="10"/>
    <x v="155"/>
    <x v="9"/>
    <x v="1"/>
    <x v="7"/>
    <x v="3"/>
    <n v="46"/>
    <n v="1324.74"/>
    <x v="0"/>
    <x v="190"/>
    <x v="0"/>
  </r>
  <r>
    <s v="ORD-01387"/>
    <x v="147"/>
    <x v="70"/>
    <x v="6"/>
    <x v="1"/>
    <x v="2"/>
    <x v="2"/>
    <n v="24"/>
    <n v="131.57"/>
    <x v="0"/>
    <x v="191"/>
    <x v="0"/>
  </r>
  <r>
    <s v="ORD-01201"/>
    <x v="148"/>
    <x v="156"/>
    <x v="9"/>
    <x v="1"/>
    <x v="7"/>
    <x v="3"/>
    <n v="3"/>
    <n v="1355.89"/>
    <x v="0"/>
    <x v="192"/>
    <x v="0"/>
  </r>
  <r>
    <s v="ORD-01173"/>
    <x v="81"/>
    <x v="157"/>
    <x v="10"/>
    <x v="0"/>
    <x v="4"/>
    <x v="3"/>
    <n v="35"/>
    <n v="330.48"/>
    <x v="5"/>
    <x v="193"/>
    <x v="3"/>
  </r>
  <r>
    <s v="ORD-01074"/>
    <x v="93"/>
    <x v="96"/>
    <x v="9"/>
    <x v="0"/>
    <x v="2"/>
    <x v="2"/>
    <n v="24"/>
    <n v="123.47"/>
    <x v="0"/>
    <x v="105"/>
    <x v="0"/>
  </r>
  <r>
    <s v="ORD-01398"/>
    <x v="44"/>
    <x v="106"/>
    <x v="9"/>
    <x v="4"/>
    <x v="3"/>
    <x v="1"/>
    <n v="26"/>
    <n v="50.79"/>
    <x v="3"/>
    <x v="194"/>
    <x v="3"/>
  </r>
  <r>
    <s v="ORD-01105"/>
    <x v="149"/>
    <x v="158"/>
    <x v="9"/>
    <x v="3"/>
    <x v="5"/>
    <x v="4"/>
    <n v="21"/>
    <n v="499.63"/>
    <x v="0"/>
    <x v="195"/>
    <x v="0"/>
  </r>
  <r>
    <s v="ORD-01365"/>
    <x v="150"/>
    <x v="159"/>
    <x v="6"/>
    <x v="0"/>
    <x v="2"/>
    <x v="2"/>
    <n v="23"/>
    <n v="116.68"/>
    <x v="0"/>
    <x v="196"/>
    <x v="0"/>
  </r>
  <r>
    <s v="ORD-01244"/>
    <x v="30"/>
    <x v="88"/>
    <x v="5"/>
    <x v="1"/>
    <x v="0"/>
    <x v="0"/>
    <n v="24"/>
    <n v="108.16"/>
    <x v="1"/>
    <x v="197"/>
    <x v="1"/>
  </r>
  <r>
    <s v="ORD-01017"/>
    <x v="151"/>
    <x v="80"/>
    <x v="10"/>
    <x v="4"/>
    <x v="4"/>
    <x v="3"/>
    <n v="48"/>
    <n v="318.73"/>
    <x v="4"/>
    <x v="198"/>
    <x v="1"/>
  </r>
  <r>
    <s v="ORD-01339"/>
    <x v="90"/>
    <x v="160"/>
    <x v="1"/>
    <x v="1"/>
    <x v="3"/>
    <x v="1"/>
    <n v="34"/>
    <n v="46.48"/>
    <x v="3"/>
    <x v="199"/>
    <x v="3"/>
  </r>
  <r>
    <s v="ORD-01092"/>
    <x v="152"/>
    <x v="161"/>
    <x v="7"/>
    <x v="2"/>
    <x v="6"/>
    <x v="1"/>
    <n v="23"/>
    <n v="37.85"/>
    <x v="0"/>
    <x v="200"/>
    <x v="0"/>
  </r>
  <r>
    <s v="ORD-01089"/>
    <x v="153"/>
    <x v="162"/>
    <x v="0"/>
    <x v="3"/>
    <x v="0"/>
    <x v="0"/>
    <n v="6"/>
    <n v="108.77"/>
    <x v="3"/>
    <x v="201"/>
    <x v="3"/>
  </r>
  <r>
    <s v="ORD-NEW"/>
    <x v="139"/>
    <x v="163"/>
    <x v="1"/>
    <x v="2"/>
    <x v="1"/>
    <x v="1"/>
    <n v="13"/>
    <n v="80.540000000000006"/>
    <x v="3"/>
    <x v="202"/>
    <x v="3"/>
  </r>
  <r>
    <s v="ORD-01141"/>
    <x v="96"/>
    <x v="164"/>
    <x v="9"/>
    <x v="3"/>
    <x v="4"/>
    <x v="3"/>
    <n v="27"/>
    <n v="311.81"/>
    <x v="4"/>
    <x v="203"/>
    <x v="1"/>
  </r>
  <r>
    <s v="ORD-01195"/>
    <x v="65"/>
    <x v="165"/>
    <x v="3"/>
    <x v="0"/>
    <x v="2"/>
    <x v="2"/>
    <n v="50"/>
    <n v="129.69"/>
    <x v="1"/>
    <x v="204"/>
    <x v="1"/>
  </r>
  <r>
    <s v="ORD-01206"/>
    <x v="154"/>
    <x v="166"/>
    <x v="8"/>
    <x v="0"/>
    <x v="4"/>
    <x v="3"/>
    <n v="12"/>
    <n v="364.97"/>
    <x v="0"/>
    <x v="205"/>
    <x v="0"/>
  </r>
  <r>
    <s v="ORD-01103"/>
    <x v="1"/>
    <x v="167"/>
    <x v="8"/>
    <x v="3"/>
    <x v="2"/>
    <x v="2"/>
    <n v="15"/>
    <n v="126.87"/>
    <x v="0"/>
    <x v="206"/>
    <x v="0"/>
  </r>
  <r>
    <s v="ORD-01347"/>
    <x v="155"/>
    <x v="168"/>
    <x v="7"/>
    <x v="4"/>
    <x v="2"/>
    <x v="2"/>
    <n v="29"/>
    <n v="132.28"/>
    <x v="3"/>
    <x v="207"/>
    <x v="3"/>
  </r>
  <r>
    <s v="ORD-01175"/>
    <x v="156"/>
    <x v="35"/>
    <x v="7"/>
    <x v="4"/>
    <x v="5"/>
    <x v="4"/>
    <n v="33"/>
    <n v="410.91"/>
    <x v="1"/>
    <x v="208"/>
    <x v="1"/>
  </r>
  <r>
    <s v="ORD-01171"/>
    <x v="157"/>
    <x v="169"/>
    <x v="4"/>
    <x v="1"/>
    <x v="3"/>
    <x v="1"/>
    <n v="5"/>
    <n v="43.23"/>
    <x v="5"/>
    <x v="209"/>
    <x v="3"/>
  </r>
  <r>
    <s v="ORD-01249"/>
    <x v="36"/>
    <x v="0"/>
    <x v="8"/>
    <x v="0"/>
    <x v="2"/>
    <x v="2"/>
    <n v="25"/>
    <n v="128.78"/>
    <x v="5"/>
    <x v="210"/>
    <x v="3"/>
  </r>
  <r>
    <s v="ORD-01158"/>
    <x v="158"/>
    <x v="33"/>
    <x v="4"/>
    <x v="4"/>
    <x v="5"/>
    <x v="4"/>
    <n v="28"/>
    <n v="437.36"/>
    <x v="0"/>
    <x v="211"/>
    <x v="0"/>
  </r>
  <r>
    <s v="ORD-01071"/>
    <x v="99"/>
    <x v="170"/>
    <x v="0"/>
    <x v="2"/>
    <x v="7"/>
    <x v="3"/>
    <n v="4"/>
    <n v="1222.1199999999999"/>
    <x v="0"/>
    <x v="212"/>
    <x v="0"/>
  </r>
  <r>
    <s v="ORD-01134"/>
    <x v="159"/>
    <x v="95"/>
    <x v="10"/>
    <x v="3"/>
    <x v="6"/>
    <x v="1"/>
    <n v="50"/>
    <n v="37.57"/>
    <x v="0"/>
    <x v="213"/>
    <x v="0"/>
  </r>
  <r>
    <s v="ORD-01369"/>
    <x v="160"/>
    <x v="171"/>
    <x v="8"/>
    <x v="4"/>
    <x v="3"/>
    <x v="1"/>
    <n v="35"/>
    <n v="47.23"/>
    <x v="1"/>
    <x v="214"/>
    <x v="1"/>
  </r>
  <r>
    <s v="ORD-01378"/>
    <x v="103"/>
    <x v="172"/>
    <x v="0"/>
    <x v="1"/>
    <x v="4"/>
    <x v="3"/>
    <n v="24"/>
    <n v="363.88"/>
    <x v="0"/>
    <x v="215"/>
    <x v="0"/>
  </r>
  <r>
    <s v="ORD-01431"/>
    <x v="9"/>
    <x v="173"/>
    <x v="5"/>
    <x v="1"/>
    <x v="5"/>
    <x v="4"/>
    <n v="20"/>
    <n v="428.01"/>
    <x v="3"/>
    <x v="216"/>
    <x v="3"/>
  </r>
  <r>
    <s v="ORD-01245"/>
    <x v="57"/>
    <x v="152"/>
    <x v="1"/>
    <x v="0"/>
    <x v="2"/>
    <x v="2"/>
    <n v="28"/>
    <n v="117.06"/>
    <x v="0"/>
    <x v="217"/>
    <x v="0"/>
  </r>
  <r>
    <s v="ORD-01243"/>
    <x v="161"/>
    <x v="174"/>
    <x v="9"/>
    <x v="3"/>
    <x v="4"/>
    <x v="3"/>
    <n v="8"/>
    <n v="348.3"/>
    <x v="0"/>
    <x v="218"/>
    <x v="0"/>
  </r>
  <r>
    <s v="ORD-01335"/>
    <x v="110"/>
    <x v="6"/>
    <x v="7"/>
    <x v="2"/>
    <x v="3"/>
    <x v="1"/>
    <n v="2"/>
    <n v="40.76"/>
    <x v="0"/>
    <x v="219"/>
    <x v="0"/>
  </r>
  <r>
    <s v="ORD-01272"/>
    <x v="162"/>
    <x v="175"/>
    <x v="10"/>
    <x v="4"/>
    <x v="2"/>
    <x v="2"/>
    <n v="19"/>
    <n v="114.55"/>
    <x v="4"/>
    <x v="220"/>
    <x v="1"/>
  </r>
  <r>
    <s v="ORD-01348"/>
    <x v="163"/>
    <x v="88"/>
    <x v="10"/>
    <x v="0"/>
    <x v="0"/>
    <x v="0"/>
    <n v="14"/>
    <n v="95.46"/>
    <x v="0"/>
    <x v="221"/>
    <x v="0"/>
  </r>
  <r>
    <s v="ORD-01358"/>
    <x v="41"/>
    <x v="6"/>
    <x v="9"/>
    <x v="2"/>
    <x v="4"/>
    <x v="3"/>
    <n v="12"/>
    <n v="347.24"/>
    <x v="0"/>
    <x v="222"/>
    <x v="0"/>
  </r>
  <r>
    <s v="ORD-01019"/>
    <x v="164"/>
    <x v="78"/>
    <x v="4"/>
    <x v="0"/>
    <x v="6"/>
    <x v="1"/>
    <n v="3"/>
    <n v="33.67"/>
    <x v="4"/>
    <x v="223"/>
    <x v="1"/>
  </r>
  <r>
    <s v="ORD-01178"/>
    <x v="165"/>
    <x v="176"/>
    <x v="4"/>
    <x v="3"/>
    <x v="0"/>
    <x v="0"/>
    <n v="25"/>
    <n v="87.89"/>
    <x v="0"/>
    <x v="224"/>
    <x v="0"/>
  </r>
  <r>
    <s v="ORD-01389"/>
    <x v="166"/>
    <x v="177"/>
    <x v="2"/>
    <x v="2"/>
    <x v="7"/>
    <x v="3"/>
    <n v="37"/>
    <n v="1204.9000000000001"/>
    <x v="1"/>
    <x v="225"/>
    <x v="1"/>
  </r>
  <r>
    <s v="ORD-01021"/>
    <x v="43"/>
    <x v="72"/>
    <x v="5"/>
    <x v="4"/>
    <x v="7"/>
    <x v="3"/>
    <n v="22"/>
    <n v="1127.9100000000001"/>
    <x v="0"/>
    <x v="226"/>
    <x v="0"/>
  </r>
  <r>
    <s v="ORD-01056"/>
    <x v="167"/>
    <x v="61"/>
    <x v="6"/>
    <x v="1"/>
    <x v="0"/>
    <x v="0"/>
    <n v="37"/>
    <n v="108.99"/>
    <x v="4"/>
    <x v="157"/>
    <x v="1"/>
  </r>
  <r>
    <s v="ORD-01423"/>
    <x v="168"/>
    <x v="178"/>
    <x v="4"/>
    <x v="1"/>
    <x v="7"/>
    <x v="3"/>
    <n v="50"/>
    <n v="1084.5999999999999"/>
    <x v="0"/>
    <x v="227"/>
    <x v="0"/>
  </r>
  <r>
    <s v="ORD-01427"/>
    <x v="169"/>
    <x v="75"/>
    <x v="3"/>
    <x v="1"/>
    <x v="1"/>
    <x v="1"/>
    <n v="4"/>
    <n v="91.99"/>
    <x v="4"/>
    <x v="228"/>
    <x v="1"/>
  </r>
  <r>
    <s v="ORD-01363"/>
    <x v="170"/>
    <x v="169"/>
    <x v="5"/>
    <x v="0"/>
    <x v="4"/>
    <x v="3"/>
    <n v="21"/>
    <n v="292.52"/>
    <x v="4"/>
    <x v="229"/>
    <x v="1"/>
  </r>
  <r>
    <s v="ORD-01035"/>
    <x v="2"/>
    <x v="179"/>
    <x v="3"/>
    <x v="3"/>
    <x v="2"/>
    <x v="2"/>
    <n v="29"/>
    <n v="118.59"/>
    <x v="0"/>
    <x v="230"/>
    <x v="0"/>
  </r>
  <r>
    <s v="ORD-01182"/>
    <x v="171"/>
    <x v="180"/>
    <x v="6"/>
    <x v="3"/>
    <x v="7"/>
    <x v="3"/>
    <n v="25"/>
    <n v="1358.73"/>
    <x v="4"/>
    <x v="231"/>
    <x v="1"/>
  </r>
  <r>
    <s v="ORD-01185"/>
    <x v="172"/>
    <x v="58"/>
    <x v="9"/>
    <x v="3"/>
    <x v="4"/>
    <x v="3"/>
    <n v="48"/>
    <n v="358.27"/>
    <x v="0"/>
    <x v="232"/>
    <x v="0"/>
  </r>
  <r>
    <s v="ORD-01151"/>
    <x v="173"/>
    <x v="181"/>
    <x v="3"/>
    <x v="0"/>
    <x v="3"/>
    <x v="1"/>
    <n v="41"/>
    <n v="48.11"/>
    <x v="3"/>
    <x v="233"/>
    <x v="3"/>
  </r>
  <r>
    <s v="ORD-01208"/>
    <x v="174"/>
    <x v="162"/>
    <x v="6"/>
    <x v="2"/>
    <x v="6"/>
    <x v="1"/>
    <n v="44"/>
    <n v="39.17"/>
    <x v="5"/>
    <x v="234"/>
    <x v="3"/>
  </r>
  <r>
    <s v="ORD-01303"/>
    <x v="151"/>
    <x v="177"/>
    <x v="4"/>
    <x v="3"/>
    <x v="7"/>
    <x v="3"/>
    <n v="44"/>
    <n v="1303.74"/>
    <x v="3"/>
    <x v="235"/>
    <x v="3"/>
  </r>
  <r>
    <s v="ORD-01254"/>
    <x v="169"/>
    <x v="182"/>
    <x v="9"/>
    <x v="4"/>
    <x v="0"/>
    <x v="0"/>
    <n v="32"/>
    <n v="97.43"/>
    <x v="0"/>
    <x v="236"/>
    <x v="0"/>
  </r>
  <r>
    <s v="ORD-01372"/>
    <x v="175"/>
    <x v="183"/>
    <x v="7"/>
    <x v="3"/>
    <x v="5"/>
    <x v="4"/>
    <n v="11"/>
    <n v="438.95"/>
    <x v="0"/>
    <x v="237"/>
    <x v="0"/>
  </r>
  <r>
    <s v="ORD-01456"/>
    <x v="106"/>
    <x v="161"/>
    <x v="4"/>
    <x v="2"/>
    <x v="1"/>
    <x v="1"/>
    <n v="38"/>
    <n v="78.599999999999994"/>
    <x v="0"/>
    <x v="238"/>
    <x v="0"/>
  </r>
  <r>
    <s v="ORD-01098"/>
    <x v="176"/>
    <x v="53"/>
    <x v="10"/>
    <x v="2"/>
    <x v="4"/>
    <x v="3"/>
    <n v="24"/>
    <n v="350.09"/>
    <x v="3"/>
    <x v="239"/>
    <x v="3"/>
  </r>
  <r>
    <s v="ORD-01236"/>
    <x v="120"/>
    <x v="156"/>
    <x v="6"/>
    <x v="4"/>
    <x v="5"/>
    <x v="4"/>
    <n v="19"/>
    <n v="480.29"/>
    <x v="0"/>
    <x v="240"/>
    <x v="0"/>
  </r>
  <r>
    <s v="ORD-01500"/>
    <x v="69"/>
    <x v="184"/>
    <x v="6"/>
    <x v="2"/>
    <x v="1"/>
    <x v="1"/>
    <n v="30"/>
    <n v="88.26"/>
    <x v="0"/>
    <x v="241"/>
    <x v="0"/>
  </r>
  <r>
    <s v="ORD-01436"/>
    <x v="133"/>
    <x v="45"/>
    <x v="1"/>
    <x v="3"/>
    <x v="6"/>
    <x v="1"/>
    <n v="15"/>
    <n v="36.17"/>
    <x v="1"/>
    <x v="242"/>
    <x v="1"/>
  </r>
  <r>
    <s v="ORD-01155"/>
    <x v="177"/>
    <x v="185"/>
    <x v="1"/>
    <x v="1"/>
    <x v="3"/>
    <x v="1"/>
    <n v="46"/>
    <n v="51.24"/>
    <x v="4"/>
    <x v="243"/>
    <x v="1"/>
  </r>
  <r>
    <s v="ORD-01123"/>
    <x v="178"/>
    <x v="18"/>
    <x v="5"/>
    <x v="4"/>
    <x v="0"/>
    <x v="0"/>
    <n v="6"/>
    <n v="93.22"/>
    <x v="3"/>
    <x v="244"/>
    <x v="3"/>
  </r>
  <r>
    <s v="ORD-01114"/>
    <x v="95"/>
    <x v="186"/>
    <x v="4"/>
    <x v="0"/>
    <x v="2"/>
    <x v="2"/>
    <n v="31"/>
    <n v="128.72"/>
    <x v="0"/>
    <x v="245"/>
    <x v="0"/>
  </r>
  <r>
    <s v="ORD-01282"/>
    <x v="179"/>
    <x v="187"/>
    <x v="8"/>
    <x v="4"/>
    <x v="0"/>
    <x v="0"/>
    <n v="29"/>
    <n v="98.51"/>
    <x v="0"/>
    <x v="246"/>
    <x v="0"/>
  </r>
  <r>
    <s v="ORD-01334"/>
    <x v="82"/>
    <x v="188"/>
    <x v="4"/>
    <x v="3"/>
    <x v="3"/>
    <x v="1"/>
    <n v="8"/>
    <n v="40.54"/>
    <x v="3"/>
    <x v="247"/>
    <x v="3"/>
  </r>
  <r>
    <s v="ORD-01172"/>
    <x v="180"/>
    <x v="178"/>
    <x v="10"/>
    <x v="3"/>
    <x v="6"/>
    <x v="1"/>
    <n v="34"/>
    <n v="37.36"/>
    <x v="4"/>
    <x v="248"/>
    <x v="1"/>
  </r>
  <r>
    <s v="ORD-01109"/>
    <x v="41"/>
    <x v="189"/>
    <x v="10"/>
    <x v="1"/>
    <x v="2"/>
    <x v="2"/>
    <n v="22"/>
    <n v="136.44999999999999"/>
    <x v="5"/>
    <x v="249"/>
    <x v="3"/>
  </r>
  <r>
    <s v="ORD-01079"/>
    <x v="73"/>
    <x v="190"/>
    <x v="4"/>
    <x v="1"/>
    <x v="6"/>
    <x v="1"/>
    <n v="8"/>
    <n v="37.97"/>
    <x v="0"/>
    <x v="250"/>
    <x v="0"/>
  </r>
  <r>
    <s v="ORD-01095"/>
    <x v="5"/>
    <x v="191"/>
    <x v="5"/>
    <x v="2"/>
    <x v="5"/>
    <x v="4"/>
    <n v="4"/>
    <n v="458.39"/>
    <x v="5"/>
    <x v="251"/>
    <x v="3"/>
  </r>
  <r>
    <s v="ORD-01062"/>
    <x v="0"/>
    <x v="27"/>
    <x v="8"/>
    <x v="2"/>
    <x v="3"/>
    <x v="1"/>
    <n v="25"/>
    <n v="44.31"/>
    <x v="1"/>
    <x v="252"/>
    <x v="1"/>
  </r>
  <r>
    <s v="ORD-01293"/>
    <x v="181"/>
    <x v="192"/>
    <x v="9"/>
    <x v="2"/>
    <x v="0"/>
    <x v="0"/>
    <n v="41"/>
    <n v="104.71"/>
    <x v="0"/>
    <x v="253"/>
    <x v="0"/>
  </r>
  <r>
    <s v="ORD-01470"/>
    <x v="72"/>
    <x v="193"/>
    <x v="9"/>
    <x v="2"/>
    <x v="4"/>
    <x v="3"/>
    <n v="50"/>
    <n v="345.63"/>
    <x v="5"/>
    <x v="254"/>
    <x v="3"/>
  </r>
  <r>
    <s v="ORD-01126"/>
    <x v="160"/>
    <x v="194"/>
    <x v="1"/>
    <x v="2"/>
    <x v="5"/>
    <x v="4"/>
    <n v="14"/>
    <n v="440.3"/>
    <x v="0"/>
    <x v="255"/>
    <x v="0"/>
  </r>
  <r>
    <s v="ORD-01314"/>
    <x v="182"/>
    <x v="195"/>
    <x v="3"/>
    <x v="3"/>
    <x v="3"/>
    <x v="1"/>
    <n v="37"/>
    <n v="49.15"/>
    <x v="0"/>
    <x v="256"/>
    <x v="0"/>
  </r>
  <r>
    <s v="ORD-01483"/>
    <x v="105"/>
    <x v="196"/>
    <x v="6"/>
    <x v="3"/>
    <x v="2"/>
    <x v="2"/>
    <n v="35"/>
    <n v="114.94"/>
    <x v="1"/>
    <x v="257"/>
    <x v="1"/>
  </r>
  <r>
    <s v="ORD-01490"/>
    <x v="183"/>
    <x v="89"/>
    <x v="1"/>
    <x v="2"/>
    <x v="1"/>
    <x v="1"/>
    <n v="26"/>
    <n v="84.33"/>
    <x v="0"/>
    <x v="258"/>
    <x v="0"/>
  </r>
  <r>
    <s v="ORD-01425"/>
    <x v="101"/>
    <x v="152"/>
    <x v="10"/>
    <x v="4"/>
    <x v="4"/>
    <x v="3"/>
    <n v="28"/>
    <n v="364.97"/>
    <x v="3"/>
    <x v="259"/>
    <x v="3"/>
  </r>
  <r>
    <s v="ORD-01426"/>
    <x v="130"/>
    <x v="197"/>
    <x v="6"/>
    <x v="3"/>
    <x v="3"/>
    <x v="1"/>
    <n v="33"/>
    <n v="41.82"/>
    <x v="0"/>
    <x v="260"/>
    <x v="0"/>
  </r>
  <r>
    <s v="ORD-01428"/>
    <x v="41"/>
    <x v="96"/>
    <x v="9"/>
    <x v="2"/>
    <x v="6"/>
    <x v="1"/>
    <n v="8"/>
    <n v="35.69"/>
    <x v="3"/>
    <x v="261"/>
    <x v="3"/>
  </r>
  <r>
    <s v="ORD-01025"/>
    <x v="106"/>
    <x v="132"/>
    <x v="3"/>
    <x v="4"/>
    <x v="2"/>
    <x v="2"/>
    <n v="39"/>
    <n v="130.88999999999999"/>
    <x v="5"/>
    <x v="262"/>
    <x v="3"/>
  </r>
  <r>
    <s v="ORD-01402"/>
    <x v="68"/>
    <x v="89"/>
    <x v="5"/>
    <x v="2"/>
    <x v="2"/>
    <x v="2"/>
    <n v="34"/>
    <n v="112.02"/>
    <x v="0"/>
    <x v="263"/>
    <x v="0"/>
  </r>
  <r>
    <s v="ORD-01352"/>
    <x v="184"/>
    <x v="198"/>
    <x v="5"/>
    <x v="0"/>
    <x v="5"/>
    <x v="4"/>
    <n v="32"/>
    <n v="428.18"/>
    <x v="0"/>
    <x v="264"/>
    <x v="0"/>
  </r>
  <r>
    <s v="ORD-01105"/>
    <x v="149"/>
    <x v="158"/>
    <x v="9"/>
    <x v="3"/>
    <x v="5"/>
    <x v="4"/>
    <n v="21"/>
    <n v="499.63"/>
    <x v="0"/>
    <x v="195"/>
    <x v="0"/>
  </r>
  <r>
    <s v="ORD-01127"/>
    <x v="185"/>
    <x v="199"/>
    <x v="8"/>
    <x v="0"/>
    <x v="0"/>
    <x v="0"/>
    <n v="10"/>
    <n v="89.61"/>
    <x v="0"/>
    <x v="265"/>
    <x v="0"/>
  </r>
  <r>
    <s v="ORD-01410"/>
    <x v="186"/>
    <x v="81"/>
    <x v="4"/>
    <x v="4"/>
    <x v="7"/>
    <x v="3"/>
    <n v="42"/>
    <n v="1137.1400000000001"/>
    <x v="1"/>
    <x v="266"/>
    <x v="1"/>
  </r>
  <r>
    <s v="ORD-01285"/>
    <x v="73"/>
    <x v="200"/>
    <x v="4"/>
    <x v="4"/>
    <x v="6"/>
    <x v="1"/>
    <n v="23"/>
    <n v="32.81"/>
    <x v="0"/>
    <x v="267"/>
    <x v="0"/>
  </r>
  <r>
    <s v="ORD-01179"/>
    <x v="187"/>
    <x v="164"/>
    <x v="4"/>
    <x v="2"/>
    <x v="4"/>
    <x v="3"/>
    <n v="31"/>
    <n v="349.66"/>
    <x v="5"/>
    <x v="268"/>
    <x v="3"/>
  </r>
  <r>
    <s v="ORD-01472"/>
    <x v="188"/>
    <x v="201"/>
    <x v="9"/>
    <x v="2"/>
    <x v="7"/>
    <x v="3"/>
    <n v="17"/>
    <n v="1355.07"/>
    <x v="0"/>
    <x v="269"/>
    <x v="0"/>
  </r>
  <r>
    <s v="ORD-01376"/>
    <x v="156"/>
    <x v="114"/>
    <x v="3"/>
    <x v="3"/>
    <x v="2"/>
    <x v="2"/>
    <n v="41"/>
    <n v="117.02"/>
    <x v="0"/>
    <x v="270"/>
    <x v="0"/>
  </r>
  <r>
    <s v="ORD-01224"/>
    <x v="189"/>
    <x v="202"/>
    <x v="7"/>
    <x v="0"/>
    <x v="3"/>
    <x v="1"/>
    <n v="3"/>
    <n v="43.39"/>
    <x v="1"/>
    <x v="271"/>
    <x v="1"/>
  </r>
  <r>
    <s v="ORD-01354"/>
    <x v="39"/>
    <x v="81"/>
    <x v="5"/>
    <x v="3"/>
    <x v="1"/>
    <x v="1"/>
    <n v="8"/>
    <n v="72.67"/>
    <x v="3"/>
    <x v="272"/>
    <x v="3"/>
  </r>
  <r>
    <s v="ORD-01094"/>
    <x v="129"/>
    <x v="203"/>
    <x v="4"/>
    <x v="1"/>
    <x v="7"/>
    <x v="3"/>
    <n v="27"/>
    <n v="1087.99"/>
    <x v="4"/>
    <x v="273"/>
    <x v="1"/>
  </r>
  <r>
    <s v="ORD-01070"/>
    <x v="178"/>
    <x v="204"/>
    <x v="9"/>
    <x v="4"/>
    <x v="3"/>
    <x v="1"/>
    <n v="17"/>
    <n v="44.25"/>
    <x v="3"/>
    <x v="274"/>
    <x v="3"/>
  </r>
  <r>
    <s v="ORD-01037"/>
    <x v="162"/>
    <x v="205"/>
    <x v="3"/>
    <x v="0"/>
    <x v="6"/>
    <x v="1"/>
    <n v="27"/>
    <n v="35.83"/>
    <x v="0"/>
    <x v="275"/>
    <x v="0"/>
  </r>
  <r>
    <s v="ORD-01161"/>
    <x v="35"/>
    <x v="206"/>
    <x v="1"/>
    <x v="0"/>
    <x v="5"/>
    <x v="4"/>
    <n v="23"/>
    <n v="454.77"/>
    <x v="0"/>
    <x v="276"/>
    <x v="0"/>
  </r>
  <r>
    <s v="ORD-01012"/>
    <x v="190"/>
    <x v="166"/>
    <x v="8"/>
    <x v="3"/>
    <x v="5"/>
    <x v="4"/>
    <n v="19"/>
    <n v="457.48"/>
    <x v="3"/>
    <x v="277"/>
    <x v="3"/>
  </r>
  <r>
    <s v="ORD-01145"/>
    <x v="191"/>
    <x v="188"/>
    <x v="6"/>
    <x v="0"/>
    <x v="4"/>
    <x v="3"/>
    <n v="5"/>
    <n v="313.36"/>
    <x v="4"/>
    <x v="278"/>
    <x v="1"/>
  </r>
  <r>
    <s v="ORD-01356"/>
    <x v="192"/>
    <x v="169"/>
    <x v="7"/>
    <x v="3"/>
    <x v="7"/>
    <x v="3"/>
    <n v="5"/>
    <n v="1290.99"/>
    <x v="4"/>
    <x v="279"/>
    <x v="1"/>
  </r>
  <r>
    <s v="ORD-01128"/>
    <x v="77"/>
    <x v="66"/>
    <x v="5"/>
    <x v="3"/>
    <x v="2"/>
    <x v="2"/>
    <n v="36"/>
    <n v="135.36000000000001"/>
    <x v="5"/>
    <x v="280"/>
    <x v="3"/>
  </r>
  <r>
    <s v="ORD-01338"/>
    <x v="20"/>
    <x v="131"/>
    <x v="7"/>
    <x v="4"/>
    <x v="2"/>
    <x v="2"/>
    <n v="32"/>
    <n v="124.33"/>
    <x v="5"/>
    <x v="281"/>
    <x v="3"/>
  </r>
  <r>
    <s v="ORD-01010"/>
    <x v="193"/>
    <x v="44"/>
    <x v="6"/>
    <x v="3"/>
    <x v="7"/>
    <x v="3"/>
    <n v="10"/>
    <n v="1248.5"/>
    <x v="0"/>
    <x v="282"/>
    <x v="0"/>
  </r>
  <r>
    <s v="ORD-01377"/>
    <x v="194"/>
    <x v="207"/>
    <x v="6"/>
    <x v="3"/>
    <x v="2"/>
    <x v="2"/>
    <n v="12"/>
    <n v="109.83"/>
    <x v="0"/>
    <x v="283"/>
    <x v="0"/>
  </r>
  <r>
    <s v="ORD-01177"/>
    <x v="195"/>
    <x v="208"/>
    <x v="9"/>
    <x v="1"/>
    <x v="4"/>
    <x v="3"/>
    <n v="2"/>
    <n v="345.39"/>
    <x v="0"/>
    <x v="284"/>
    <x v="0"/>
  </r>
  <r>
    <s v="ORD-01232"/>
    <x v="196"/>
    <x v="209"/>
    <x v="1"/>
    <x v="2"/>
    <x v="7"/>
    <x v="3"/>
    <n v="3"/>
    <n v="1349.11"/>
    <x v="0"/>
    <x v="285"/>
    <x v="0"/>
  </r>
  <r>
    <s v="ORD-01211"/>
    <x v="197"/>
    <x v="56"/>
    <x v="7"/>
    <x v="3"/>
    <x v="7"/>
    <x v="3"/>
    <n v="31"/>
    <n v="1112.19"/>
    <x v="0"/>
    <x v="286"/>
    <x v="0"/>
  </r>
  <r>
    <s v="ORD-01129"/>
    <x v="52"/>
    <x v="210"/>
    <x v="8"/>
    <x v="1"/>
    <x v="3"/>
    <x v="1"/>
    <n v="47"/>
    <n v="44.35"/>
    <x v="5"/>
    <x v="287"/>
    <x v="3"/>
  </r>
  <r>
    <s v="ORD-01144"/>
    <x v="198"/>
    <x v="211"/>
    <x v="10"/>
    <x v="4"/>
    <x v="2"/>
    <x v="2"/>
    <n v="30"/>
    <n v="129.15"/>
    <x v="0"/>
    <x v="288"/>
    <x v="0"/>
  </r>
  <r>
    <s v="ORD-01242"/>
    <x v="56"/>
    <x v="212"/>
    <x v="6"/>
    <x v="0"/>
    <x v="5"/>
    <x v="4"/>
    <n v="18"/>
    <n v="431.5"/>
    <x v="3"/>
    <x v="289"/>
    <x v="3"/>
  </r>
  <r>
    <s v="ORD-01008"/>
    <x v="19"/>
    <x v="213"/>
    <x v="8"/>
    <x v="3"/>
    <x v="5"/>
    <x v="4"/>
    <n v="15"/>
    <n v="419.71"/>
    <x v="0"/>
    <x v="290"/>
    <x v="0"/>
  </r>
  <r>
    <s v="ORD-01255"/>
    <x v="18"/>
    <x v="214"/>
    <x v="3"/>
    <x v="0"/>
    <x v="5"/>
    <x v="4"/>
    <n v="24"/>
    <n v="505.7"/>
    <x v="5"/>
    <x v="291"/>
    <x v="3"/>
  </r>
  <r>
    <s v="ORD-01373"/>
    <x v="199"/>
    <x v="215"/>
    <x v="1"/>
    <x v="1"/>
    <x v="0"/>
    <x v="0"/>
    <n v="46"/>
    <n v="88.9"/>
    <x v="9"/>
    <x v="292"/>
    <x v="3"/>
  </r>
  <r>
    <s v="ORD-01337"/>
    <x v="62"/>
    <x v="216"/>
    <x v="2"/>
    <x v="4"/>
    <x v="0"/>
    <x v="0"/>
    <n v="12"/>
    <n v="101.5"/>
    <x v="4"/>
    <x v="293"/>
    <x v="1"/>
  </r>
  <r>
    <s v="ORD-01009"/>
    <x v="200"/>
    <x v="85"/>
    <x v="5"/>
    <x v="2"/>
    <x v="4"/>
    <x v="3"/>
    <n v="9"/>
    <n v="317.64"/>
    <x v="0"/>
    <x v="294"/>
    <x v="0"/>
  </r>
  <r>
    <s v="ORD-01157"/>
    <x v="126"/>
    <x v="217"/>
    <x v="9"/>
    <x v="3"/>
    <x v="7"/>
    <x v="3"/>
    <n v="19"/>
    <n v="1167.1400000000001"/>
    <x v="0"/>
    <x v="295"/>
    <x v="0"/>
  </r>
  <r>
    <s v="ORD-01028"/>
    <x v="201"/>
    <x v="218"/>
    <x v="2"/>
    <x v="0"/>
    <x v="0"/>
    <x v="0"/>
    <n v="11"/>
    <n v="97.35"/>
    <x v="0"/>
    <x v="296"/>
    <x v="0"/>
  </r>
  <r>
    <s v="ORD-01267"/>
    <x v="202"/>
    <x v="219"/>
    <x v="2"/>
    <x v="1"/>
    <x v="2"/>
    <x v="2"/>
    <n v="21"/>
    <n v="120.48"/>
    <x v="4"/>
    <x v="297"/>
    <x v="1"/>
  </r>
  <r>
    <s v="ORD-01065"/>
    <x v="129"/>
    <x v="138"/>
    <x v="5"/>
    <x v="1"/>
    <x v="4"/>
    <x v="3"/>
    <n v="27"/>
    <n v="303.92"/>
    <x v="1"/>
    <x v="298"/>
    <x v="1"/>
  </r>
  <r>
    <s v="ORD-01256"/>
    <x v="203"/>
    <x v="220"/>
    <x v="5"/>
    <x v="3"/>
    <x v="7"/>
    <x v="3"/>
    <n v="34"/>
    <n v="1291.07"/>
    <x v="0"/>
    <x v="299"/>
    <x v="0"/>
  </r>
  <r>
    <s v="ORD-01320"/>
    <x v="44"/>
    <x v="221"/>
    <x v="8"/>
    <x v="2"/>
    <x v="1"/>
    <x v="1"/>
    <n v="24"/>
    <n v="79.650000000000006"/>
    <x v="3"/>
    <x v="300"/>
    <x v="3"/>
  </r>
  <r>
    <s v="ORD-01154"/>
    <x v="139"/>
    <x v="58"/>
    <x v="7"/>
    <x v="1"/>
    <x v="7"/>
    <x v="3"/>
    <n v="16"/>
    <n v="1325.51"/>
    <x v="4"/>
    <x v="301"/>
    <x v="1"/>
  </r>
  <r>
    <s v="ORD-01049"/>
    <x v="204"/>
    <x v="222"/>
    <x v="9"/>
    <x v="2"/>
    <x v="3"/>
    <x v="1"/>
    <n v="35"/>
    <n v="46.92"/>
    <x v="0"/>
    <x v="302"/>
    <x v="0"/>
  </r>
  <r>
    <s v="ORD-01209"/>
    <x v="205"/>
    <x v="33"/>
    <x v="4"/>
    <x v="2"/>
    <x v="3"/>
    <x v="1"/>
    <n v="30"/>
    <n v="40.6"/>
    <x v="4"/>
    <x v="293"/>
    <x v="1"/>
  </r>
  <r>
    <s v="ORD-01288"/>
    <x v="88"/>
    <x v="206"/>
    <x v="6"/>
    <x v="1"/>
    <x v="5"/>
    <x v="4"/>
    <n v="18"/>
    <n v="418.08"/>
    <x v="0"/>
    <x v="303"/>
    <x v="0"/>
  </r>
  <r>
    <s v="ORD-01002"/>
    <x v="92"/>
    <x v="173"/>
    <x v="10"/>
    <x v="3"/>
    <x v="7"/>
    <x v="3"/>
    <n v="12"/>
    <n v="1262"/>
    <x v="0"/>
    <x v="304"/>
    <x v="0"/>
  </r>
  <r>
    <s v="ORD-01270"/>
    <x v="123"/>
    <x v="76"/>
    <x v="6"/>
    <x v="4"/>
    <x v="2"/>
    <x v="2"/>
    <n v="21"/>
    <n v="124.13"/>
    <x v="5"/>
    <x v="305"/>
    <x v="3"/>
  </r>
  <r>
    <s v="ORD-01266"/>
    <x v="105"/>
    <x v="223"/>
    <x v="10"/>
    <x v="1"/>
    <x v="0"/>
    <x v="0"/>
    <n v="19"/>
    <n v="99.89"/>
    <x v="5"/>
    <x v="306"/>
    <x v="3"/>
  </r>
  <r>
    <s v="ORD-01329"/>
    <x v="206"/>
    <x v="207"/>
    <x v="3"/>
    <x v="4"/>
    <x v="1"/>
    <x v="1"/>
    <n v="26"/>
    <n v="75.569999999999993"/>
    <x v="1"/>
    <x v="307"/>
    <x v="1"/>
  </r>
  <r>
    <s v="ORD-01355"/>
    <x v="71"/>
    <x v="224"/>
    <x v="7"/>
    <x v="1"/>
    <x v="2"/>
    <x v="2"/>
    <n v="9"/>
    <n v="125.93"/>
    <x v="0"/>
    <x v="308"/>
    <x v="0"/>
  </r>
  <r>
    <s v="ORD-01096"/>
    <x v="207"/>
    <x v="215"/>
    <x v="7"/>
    <x v="3"/>
    <x v="1"/>
    <x v="1"/>
    <n v="26"/>
    <n v="91.34"/>
    <x v="0"/>
    <x v="309"/>
    <x v="0"/>
  </r>
  <r>
    <s v="ORD-01467"/>
    <x v="126"/>
    <x v="89"/>
    <x v="5"/>
    <x v="1"/>
    <x v="4"/>
    <x v="3"/>
    <n v="6"/>
    <n v="301.45999999999998"/>
    <x v="10"/>
    <x v="310"/>
    <x v="3"/>
  </r>
  <r>
    <s v="ORD-01495"/>
    <x v="112"/>
    <x v="105"/>
    <x v="9"/>
    <x v="3"/>
    <x v="7"/>
    <x v="3"/>
    <n v="4"/>
    <n v="1083.56"/>
    <x v="0"/>
    <x v="311"/>
    <x v="0"/>
  </r>
  <r>
    <s v="ORD-01319"/>
    <x v="143"/>
    <x v="33"/>
    <x v="10"/>
    <x v="1"/>
    <x v="3"/>
    <x v="1"/>
    <n v="29"/>
    <n v="51.67"/>
    <x v="0"/>
    <x v="312"/>
    <x v="0"/>
  </r>
  <r>
    <s v="ORD-01117"/>
    <x v="208"/>
    <x v="225"/>
    <x v="5"/>
    <x v="1"/>
    <x v="2"/>
    <x v="2"/>
    <n v="49"/>
    <n v="135.62"/>
    <x v="0"/>
    <x v="313"/>
    <x v="0"/>
  </r>
  <r>
    <s v="ORD-01046"/>
    <x v="42"/>
    <x v="226"/>
    <x v="7"/>
    <x v="3"/>
    <x v="3"/>
    <x v="1"/>
    <n v="48"/>
    <n v="49.09"/>
    <x v="4"/>
    <x v="314"/>
    <x v="1"/>
  </r>
  <r>
    <s v="ORD-01162"/>
    <x v="43"/>
    <x v="227"/>
    <x v="5"/>
    <x v="3"/>
    <x v="7"/>
    <x v="3"/>
    <n v="16"/>
    <n v="1156.93"/>
    <x v="5"/>
    <x v="315"/>
    <x v="3"/>
  </r>
  <r>
    <s v="ORD-01388"/>
    <x v="94"/>
    <x v="200"/>
    <x v="6"/>
    <x v="1"/>
    <x v="4"/>
    <x v="3"/>
    <n v="36"/>
    <n v="313.5"/>
    <x v="0"/>
    <x v="316"/>
    <x v="0"/>
  </r>
  <r>
    <s v="ORD-01118"/>
    <x v="203"/>
    <x v="58"/>
    <x v="10"/>
    <x v="0"/>
    <x v="3"/>
    <x v="1"/>
    <n v="46"/>
    <n v="50.32"/>
    <x v="0"/>
    <x v="317"/>
    <x v="0"/>
  </r>
  <r>
    <s v="ORD-01289"/>
    <x v="92"/>
    <x v="72"/>
    <x v="3"/>
    <x v="2"/>
    <x v="4"/>
    <x v="3"/>
    <n v="41"/>
    <n v="304.43"/>
    <x v="0"/>
    <x v="318"/>
    <x v="0"/>
  </r>
  <r>
    <s v="ORD-01078"/>
    <x v="160"/>
    <x v="228"/>
    <x v="3"/>
    <x v="3"/>
    <x v="3"/>
    <x v="1"/>
    <n v="34"/>
    <n v="51.64"/>
    <x v="0"/>
    <x v="319"/>
    <x v="0"/>
  </r>
  <r>
    <s v="ORD-01395"/>
    <x v="16"/>
    <x v="122"/>
    <x v="2"/>
    <x v="2"/>
    <x v="6"/>
    <x v="1"/>
    <n v="6"/>
    <n v="34.130000000000003"/>
    <x v="0"/>
    <x v="320"/>
    <x v="0"/>
  </r>
  <r>
    <s v="ORD-01064"/>
    <x v="209"/>
    <x v="229"/>
    <x v="10"/>
    <x v="4"/>
    <x v="6"/>
    <x v="1"/>
    <n v="34"/>
    <n v="38.11"/>
    <x v="4"/>
    <x v="321"/>
    <x v="1"/>
  </r>
  <r>
    <s v="ORD-01396"/>
    <x v="210"/>
    <x v="230"/>
    <x v="5"/>
    <x v="0"/>
    <x v="6"/>
    <x v="1"/>
    <n v="5"/>
    <n v="37.69"/>
    <x v="0"/>
    <x v="322"/>
    <x v="0"/>
  </r>
  <r>
    <s v="ORD-01440"/>
    <x v="41"/>
    <x v="120"/>
    <x v="8"/>
    <x v="4"/>
    <x v="6"/>
    <x v="1"/>
    <n v="6"/>
    <n v="35.85"/>
    <x v="0"/>
    <x v="323"/>
    <x v="0"/>
  </r>
  <r>
    <s v="ORD-01231"/>
    <x v="211"/>
    <x v="231"/>
    <x v="1"/>
    <x v="2"/>
    <x v="1"/>
    <x v="1"/>
    <n v="17"/>
    <n v="89.12"/>
    <x v="0"/>
    <x v="324"/>
    <x v="0"/>
  </r>
  <r>
    <s v="ORD-01298"/>
    <x v="212"/>
    <x v="232"/>
    <x v="10"/>
    <x v="2"/>
    <x v="4"/>
    <x v="3"/>
    <n v="44"/>
    <n v="324.99"/>
    <x v="0"/>
    <x v="325"/>
    <x v="0"/>
  </r>
  <r>
    <s v="ORD-01187"/>
    <x v="15"/>
    <x v="233"/>
    <x v="3"/>
    <x v="4"/>
    <x v="5"/>
    <x v="4"/>
    <n v="23"/>
    <n v="427.44"/>
    <x v="4"/>
    <x v="326"/>
    <x v="1"/>
  </r>
  <r>
    <s v="ORD-01341"/>
    <x v="213"/>
    <x v="6"/>
    <x v="1"/>
    <x v="0"/>
    <x v="7"/>
    <x v="3"/>
    <n v="36"/>
    <n v="1154.25"/>
    <x v="0"/>
    <x v="327"/>
    <x v="0"/>
  </r>
  <r>
    <s v="ORD-01200"/>
    <x v="214"/>
    <x v="156"/>
    <x v="9"/>
    <x v="4"/>
    <x v="5"/>
    <x v="4"/>
    <n v="9"/>
    <n v="424.78"/>
    <x v="3"/>
    <x v="328"/>
    <x v="3"/>
  </r>
  <r>
    <s v="ORD-01497"/>
    <x v="104"/>
    <x v="234"/>
    <x v="1"/>
    <x v="3"/>
    <x v="4"/>
    <x v="3"/>
    <n v="29"/>
    <n v="309.98"/>
    <x v="0"/>
    <x v="329"/>
    <x v="0"/>
  </r>
  <r>
    <s v="ORD-01122"/>
    <x v="74"/>
    <x v="96"/>
    <x v="2"/>
    <x v="4"/>
    <x v="7"/>
    <x v="3"/>
    <n v="1"/>
    <n v="1142.2"/>
    <x v="4"/>
    <x v="330"/>
    <x v="1"/>
  </r>
  <r>
    <s v="ORD-01473"/>
    <x v="61"/>
    <x v="147"/>
    <x v="1"/>
    <x v="3"/>
    <x v="4"/>
    <x v="3"/>
    <n v="42"/>
    <n v="331.37"/>
    <x v="3"/>
    <x v="331"/>
    <x v="3"/>
  </r>
  <r>
    <s v="ORD-01437"/>
    <x v="94"/>
    <x v="58"/>
    <x v="10"/>
    <x v="0"/>
    <x v="4"/>
    <x v="3"/>
    <n v="23"/>
    <n v="316.74"/>
    <x v="0"/>
    <x v="332"/>
    <x v="0"/>
  </r>
  <r>
    <s v="ORD-01308"/>
    <x v="215"/>
    <x v="94"/>
    <x v="8"/>
    <x v="1"/>
    <x v="7"/>
    <x v="3"/>
    <n v="16"/>
    <n v="1378.24"/>
    <x v="4"/>
    <x v="333"/>
    <x v="1"/>
  </r>
  <r>
    <s v="ORD-01466"/>
    <x v="216"/>
    <x v="235"/>
    <x v="6"/>
    <x v="2"/>
    <x v="6"/>
    <x v="1"/>
    <n v="2"/>
    <n v="35.79"/>
    <x v="1"/>
    <x v="334"/>
    <x v="1"/>
  </r>
  <r>
    <s v="ORD-01159"/>
    <x v="11"/>
    <x v="102"/>
    <x v="4"/>
    <x v="0"/>
    <x v="7"/>
    <x v="3"/>
    <n v="1"/>
    <n v="1294.24"/>
    <x v="1"/>
    <x v="335"/>
    <x v="1"/>
  </r>
  <r>
    <s v="ORD-01086"/>
    <x v="26"/>
    <x v="111"/>
    <x v="4"/>
    <x v="3"/>
    <x v="2"/>
    <x v="2"/>
    <n v="33"/>
    <n v="132.47"/>
    <x v="5"/>
    <x v="336"/>
    <x v="3"/>
  </r>
  <r>
    <s v="ORD-01226"/>
    <x v="217"/>
    <x v="236"/>
    <x v="6"/>
    <x v="0"/>
    <x v="7"/>
    <x v="3"/>
    <n v="20"/>
    <n v="1300.99"/>
    <x v="5"/>
    <x v="337"/>
    <x v="3"/>
  </r>
  <r>
    <s v="ORD-01263"/>
    <x v="218"/>
    <x v="93"/>
    <x v="10"/>
    <x v="3"/>
    <x v="0"/>
    <x v="0"/>
    <n v="39"/>
    <n v="88.67"/>
    <x v="11"/>
    <x v="338"/>
    <x v="3"/>
  </r>
  <r>
    <s v="ORD-01332"/>
    <x v="219"/>
    <x v="237"/>
    <x v="0"/>
    <x v="1"/>
    <x v="7"/>
    <x v="3"/>
    <n v="18"/>
    <n v="1298.3599999999999"/>
    <x v="3"/>
    <x v="339"/>
    <x v="3"/>
  </r>
  <r>
    <s v="ORD-01405"/>
    <x v="128"/>
    <x v="238"/>
    <x v="5"/>
    <x v="4"/>
    <x v="3"/>
    <x v="1"/>
    <n v="27"/>
    <n v="47.78"/>
    <x v="3"/>
    <x v="340"/>
    <x v="3"/>
  </r>
  <r>
    <s v="ORD-01077"/>
    <x v="75"/>
    <x v="239"/>
    <x v="10"/>
    <x v="1"/>
    <x v="0"/>
    <x v="0"/>
    <n v="46"/>
    <n v="89.36"/>
    <x v="0"/>
    <x v="341"/>
    <x v="0"/>
  </r>
  <r>
    <s v="ORD-01493"/>
    <x v="172"/>
    <x v="240"/>
    <x v="2"/>
    <x v="2"/>
    <x v="7"/>
    <x v="3"/>
    <n v="5"/>
    <n v="1081.98"/>
    <x v="0"/>
    <x v="342"/>
    <x v="0"/>
  </r>
  <r>
    <s v="ORD-01378"/>
    <x v="103"/>
    <x v="172"/>
    <x v="8"/>
    <x v="1"/>
    <x v="4"/>
    <x v="3"/>
    <n v="24"/>
    <n v="363.88"/>
    <x v="0"/>
    <x v="215"/>
    <x v="0"/>
  </r>
  <r>
    <s v="ORD-01088"/>
    <x v="67"/>
    <x v="43"/>
    <x v="1"/>
    <x v="4"/>
    <x v="4"/>
    <x v="3"/>
    <n v="28"/>
    <n v="341.9"/>
    <x v="0"/>
    <x v="343"/>
    <x v="0"/>
  </r>
  <r>
    <s v="ORD-01451"/>
    <x v="220"/>
    <x v="241"/>
    <x v="1"/>
    <x v="3"/>
    <x v="3"/>
    <x v="1"/>
    <n v="6"/>
    <n v="43.43"/>
    <x v="0"/>
    <x v="344"/>
    <x v="0"/>
  </r>
  <r>
    <s v="ORD-01183"/>
    <x v="77"/>
    <x v="242"/>
    <x v="5"/>
    <x v="0"/>
    <x v="5"/>
    <x v="4"/>
    <n v="24"/>
    <n v="450.78"/>
    <x v="0"/>
    <x v="345"/>
    <x v="0"/>
  </r>
  <r>
    <s v="ORD-01106"/>
    <x v="221"/>
    <x v="243"/>
    <x v="6"/>
    <x v="3"/>
    <x v="2"/>
    <x v="2"/>
    <n v="7"/>
    <n v="112.43"/>
    <x v="4"/>
    <x v="346"/>
    <x v="1"/>
  </r>
  <r>
    <s v="ORD-01415"/>
    <x v="47"/>
    <x v="244"/>
    <x v="3"/>
    <x v="4"/>
    <x v="6"/>
    <x v="1"/>
    <n v="34"/>
    <n v="33.15"/>
    <x v="1"/>
    <x v="347"/>
    <x v="1"/>
  </r>
  <r>
    <s v="ORD-01050"/>
    <x v="222"/>
    <x v="245"/>
    <x v="7"/>
    <x v="0"/>
    <x v="5"/>
    <x v="4"/>
    <n v="16"/>
    <n v="426.9"/>
    <x v="5"/>
    <x v="348"/>
    <x v="3"/>
  </r>
  <r>
    <s v="ORD-01385"/>
    <x v="20"/>
    <x v="246"/>
    <x v="1"/>
    <x v="3"/>
    <x v="4"/>
    <x v="3"/>
    <n v="32"/>
    <n v="363.33"/>
    <x v="0"/>
    <x v="349"/>
    <x v="0"/>
  </r>
  <r>
    <s v="ORD-01006"/>
    <x v="223"/>
    <x v="6"/>
    <x v="4"/>
    <x v="2"/>
    <x v="1"/>
    <x v="1"/>
    <n v="32"/>
    <n v="89.22"/>
    <x v="3"/>
    <x v="350"/>
    <x v="3"/>
  </r>
  <r>
    <s v="ORD-01018"/>
    <x v="71"/>
    <x v="0"/>
    <x v="3"/>
    <x v="3"/>
    <x v="3"/>
    <x v="1"/>
    <n v="34"/>
    <n v="47.42"/>
    <x v="0"/>
    <x v="351"/>
    <x v="0"/>
  </r>
  <r>
    <s v="ORD-01235"/>
    <x v="224"/>
    <x v="247"/>
    <x v="7"/>
    <x v="3"/>
    <x v="5"/>
    <x v="4"/>
    <n v="13"/>
    <n v="414.76"/>
    <x v="12"/>
    <x v="352"/>
    <x v="3"/>
  </r>
  <r>
    <s v="ORD-01407"/>
    <x v="225"/>
    <x v="147"/>
    <x v="6"/>
    <x v="1"/>
    <x v="3"/>
    <x v="1"/>
    <n v="5"/>
    <n v="50.03"/>
    <x v="0"/>
    <x v="353"/>
    <x v="0"/>
  </r>
  <r>
    <s v="ORD-01453"/>
    <x v="90"/>
    <x v="9"/>
    <x v="10"/>
    <x v="0"/>
    <x v="0"/>
    <x v="0"/>
    <n v="42"/>
    <n v="99.25"/>
    <x v="0"/>
    <x v="354"/>
    <x v="0"/>
  </r>
  <r>
    <s v="ORD-01107"/>
    <x v="189"/>
    <x v="248"/>
    <x v="1"/>
    <x v="1"/>
    <x v="0"/>
    <x v="0"/>
    <n v="46"/>
    <n v="101.67"/>
    <x v="0"/>
    <x v="355"/>
    <x v="0"/>
  </r>
  <r>
    <s v="ORD-01135"/>
    <x v="226"/>
    <x v="97"/>
    <x v="3"/>
    <x v="2"/>
    <x v="5"/>
    <x v="4"/>
    <n v="19"/>
    <n v="473.63"/>
    <x v="4"/>
    <x v="356"/>
    <x v="1"/>
  </r>
  <r>
    <s v="ORD-01156"/>
    <x v="46"/>
    <x v="44"/>
    <x v="9"/>
    <x v="1"/>
    <x v="3"/>
    <x v="1"/>
    <n v="10"/>
    <n v="49.55"/>
    <x v="0"/>
    <x v="48"/>
    <x v="0"/>
  </r>
  <r>
    <s v="ORD-01227"/>
    <x v="227"/>
    <x v="249"/>
    <x v="2"/>
    <x v="1"/>
    <x v="0"/>
    <x v="0"/>
    <n v="33"/>
    <n v="104.28"/>
    <x v="0"/>
    <x v="357"/>
    <x v="0"/>
  </r>
  <r>
    <s v="ORD-01215"/>
    <x v="99"/>
    <x v="250"/>
    <x v="6"/>
    <x v="1"/>
    <x v="4"/>
    <x v="3"/>
    <n v="5"/>
    <n v="331.46"/>
    <x v="0"/>
    <x v="358"/>
    <x v="0"/>
  </r>
  <r>
    <s v="ORD-01191"/>
    <x v="116"/>
    <x v="174"/>
    <x v="6"/>
    <x v="4"/>
    <x v="6"/>
    <x v="1"/>
    <n v="47"/>
    <n v="39.44"/>
    <x v="0"/>
    <x v="359"/>
    <x v="0"/>
  </r>
  <r>
    <s v="ORD-01447"/>
    <x v="228"/>
    <x v="48"/>
    <x v="0"/>
    <x v="3"/>
    <x v="2"/>
    <x v="2"/>
    <n v="41"/>
    <n v="120.42"/>
    <x v="1"/>
    <x v="360"/>
    <x v="1"/>
  </r>
  <r>
    <s v="ORD-01321"/>
    <x v="228"/>
    <x v="166"/>
    <x v="7"/>
    <x v="2"/>
    <x v="1"/>
    <x v="1"/>
    <n v="24"/>
    <n v="89.39"/>
    <x v="0"/>
    <x v="361"/>
    <x v="0"/>
  </r>
  <r>
    <s v="ORD-01283"/>
    <x v="29"/>
    <x v="251"/>
    <x v="7"/>
    <x v="3"/>
    <x v="3"/>
    <x v="1"/>
    <n v="3"/>
    <n v="46.19"/>
    <x v="3"/>
    <x v="362"/>
    <x v="3"/>
  </r>
  <r>
    <s v="ORD-01030"/>
    <x v="173"/>
    <x v="252"/>
    <x v="2"/>
    <x v="2"/>
    <x v="5"/>
    <x v="4"/>
    <n v="45"/>
    <n v="407.61"/>
    <x v="3"/>
    <x v="363"/>
    <x v="3"/>
  </r>
  <r>
    <s v="ORD-01170"/>
    <x v="180"/>
    <x v="253"/>
    <x v="3"/>
    <x v="4"/>
    <x v="6"/>
    <x v="1"/>
    <n v="24"/>
    <n v="36.630000000000003"/>
    <x v="0"/>
    <x v="364"/>
    <x v="0"/>
  </r>
  <r>
    <s v="ORD-01181"/>
    <x v="229"/>
    <x v="254"/>
    <x v="9"/>
    <x v="2"/>
    <x v="6"/>
    <x v="1"/>
    <n v="41"/>
    <n v="36.32"/>
    <x v="4"/>
    <x v="365"/>
    <x v="1"/>
  </r>
  <r>
    <s v="ORD-01101"/>
    <x v="230"/>
    <x v="200"/>
    <x v="4"/>
    <x v="2"/>
    <x v="4"/>
    <x v="3"/>
    <n v="6"/>
    <n v="334.68"/>
    <x v="1"/>
    <x v="366"/>
    <x v="1"/>
  </r>
  <r>
    <s v="ORD-01198"/>
    <x v="193"/>
    <x v="255"/>
    <x v="5"/>
    <x v="4"/>
    <x v="5"/>
    <x v="4"/>
    <n v="49"/>
    <n v="424.69"/>
    <x v="0"/>
    <x v="367"/>
    <x v="0"/>
  </r>
  <r>
    <s v="ORD-01210"/>
    <x v="27"/>
    <x v="256"/>
    <x v="7"/>
    <x v="2"/>
    <x v="4"/>
    <x v="3"/>
    <n v="45"/>
    <n v="333.44"/>
    <x v="0"/>
    <x v="368"/>
    <x v="0"/>
  </r>
  <r>
    <s v="ORD-01136"/>
    <x v="103"/>
    <x v="42"/>
    <x v="2"/>
    <x v="1"/>
    <x v="1"/>
    <x v="1"/>
    <n v="16"/>
    <n v="75.849999999999994"/>
    <x v="0"/>
    <x v="369"/>
    <x v="0"/>
  </r>
  <r>
    <s v="ORD-01478"/>
    <x v="51"/>
    <x v="126"/>
    <x v="2"/>
    <x v="0"/>
    <x v="4"/>
    <x v="3"/>
    <n v="40"/>
    <n v="363.62"/>
    <x v="4"/>
    <x v="370"/>
    <x v="1"/>
  </r>
  <r>
    <s v="ORD-01435"/>
    <x v="231"/>
    <x v="257"/>
    <x v="5"/>
    <x v="0"/>
    <x v="0"/>
    <x v="0"/>
    <n v="46"/>
    <n v="94.54"/>
    <x v="0"/>
    <x v="371"/>
    <x v="0"/>
  </r>
  <r>
    <s v="ORD-01199"/>
    <x v="74"/>
    <x v="258"/>
    <x v="7"/>
    <x v="0"/>
    <x v="6"/>
    <x v="1"/>
    <n v="22"/>
    <n v="39.22"/>
    <x v="3"/>
    <x v="372"/>
    <x v="3"/>
  </r>
  <r>
    <s v="ORD-01374"/>
    <x v="232"/>
    <x v="49"/>
    <x v="9"/>
    <x v="3"/>
    <x v="0"/>
    <x v="0"/>
    <n v="46"/>
    <n v="101.18"/>
    <x v="3"/>
    <x v="373"/>
    <x v="3"/>
  </r>
  <r>
    <s v="ORD-01167"/>
    <x v="74"/>
    <x v="167"/>
    <x v="5"/>
    <x v="0"/>
    <x v="6"/>
    <x v="1"/>
    <n v="43"/>
    <n v="37.590000000000003"/>
    <x v="0"/>
    <x v="374"/>
    <x v="0"/>
  </r>
  <r>
    <s v="ORD-01390"/>
    <x v="114"/>
    <x v="259"/>
    <x v="8"/>
    <x v="2"/>
    <x v="2"/>
    <x v="2"/>
    <n v="24"/>
    <n v="112.48"/>
    <x v="5"/>
    <x v="375"/>
    <x v="3"/>
  </r>
  <r>
    <s v="ORD-01137"/>
    <x v="233"/>
    <x v="207"/>
    <x v="2"/>
    <x v="3"/>
    <x v="1"/>
    <x v="1"/>
    <n v="20"/>
    <n v="76.930000000000007"/>
    <x v="5"/>
    <x v="376"/>
    <x v="3"/>
  </r>
  <r>
    <s v="ORD-01286"/>
    <x v="213"/>
    <x v="260"/>
    <x v="6"/>
    <x v="0"/>
    <x v="2"/>
    <x v="2"/>
    <n v="40"/>
    <n v="117.84"/>
    <x v="4"/>
    <x v="377"/>
    <x v="1"/>
  </r>
  <r>
    <s v="ORD-01336"/>
    <x v="179"/>
    <x v="261"/>
    <x v="2"/>
    <x v="2"/>
    <x v="6"/>
    <x v="1"/>
    <n v="48"/>
    <n v="34.11"/>
    <x v="4"/>
    <x v="378"/>
    <x v="1"/>
  </r>
  <r>
    <s v="ORD-01132"/>
    <x v="234"/>
    <x v="262"/>
    <x v="2"/>
    <x v="1"/>
    <x v="5"/>
    <x v="4"/>
    <n v="28"/>
    <n v="486.1"/>
    <x v="0"/>
    <x v="379"/>
    <x v="0"/>
  </r>
  <r>
    <s v="ORD-01040"/>
    <x v="235"/>
    <x v="9"/>
    <x v="6"/>
    <x v="4"/>
    <x v="5"/>
    <x v="4"/>
    <n v="47"/>
    <n v="457.94"/>
    <x v="4"/>
    <x v="380"/>
    <x v="1"/>
  </r>
  <r>
    <s v="ORD-01216"/>
    <x v="236"/>
    <x v="263"/>
    <x v="3"/>
    <x v="1"/>
    <x v="2"/>
    <x v="2"/>
    <n v="46"/>
    <n v="122.82"/>
    <x v="0"/>
    <x v="381"/>
    <x v="0"/>
  </r>
  <r>
    <s v="ORD-01044"/>
    <x v="115"/>
    <x v="264"/>
    <x v="2"/>
    <x v="1"/>
    <x v="5"/>
    <x v="4"/>
    <n v="19"/>
    <n v="504.28"/>
    <x v="3"/>
    <x v="382"/>
    <x v="3"/>
  </r>
  <r>
    <s v="ORD-01055"/>
    <x v="226"/>
    <x v="265"/>
    <x v="4"/>
    <x v="3"/>
    <x v="1"/>
    <x v="1"/>
    <n v="44"/>
    <n v="77.59"/>
    <x v="1"/>
    <x v="383"/>
    <x v="1"/>
  </r>
  <r>
    <s v="ORD-01482"/>
    <x v="180"/>
    <x v="266"/>
    <x v="2"/>
    <x v="1"/>
    <x v="3"/>
    <x v="1"/>
    <n v="41"/>
    <n v="49.98"/>
    <x v="4"/>
    <x v="384"/>
    <x v="1"/>
  </r>
  <r>
    <s v="ORD-01300"/>
    <x v="101"/>
    <x v="214"/>
    <x v="3"/>
    <x v="3"/>
    <x v="5"/>
    <x v="4"/>
    <n v="2"/>
    <n v="486.37"/>
    <x v="1"/>
    <x v="385"/>
    <x v="1"/>
  </r>
  <r>
    <s v="ORD-01462"/>
    <x v="133"/>
    <x v="205"/>
    <x v="6"/>
    <x v="1"/>
    <x v="5"/>
    <x v="4"/>
    <n v="39"/>
    <n v="433.95"/>
    <x v="0"/>
    <x v="386"/>
    <x v="0"/>
  </r>
  <r>
    <s v="ORD-01305"/>
    <x v="237"/>
    <x v="267"/>
    <x v="4"/>
    <x v="2"/>
    <x v="1"/>
    <x v="1"/>
    <n v="3"/>
    <n v="72.91"/>
    <x v="4"/>
    <x v="387"/>
    <x v="1"/>
  </r>
  <r>
    <s v="ORD-01036"/>
    <x v="238"/>
    <x v="268"/>
    <x v="2"/>
    <x v="3"/>
    <x v="7"/>
    <x v="3"/>
    <n v="3"/>
    <n v="1095.1600000000001"/>
    <x v="5"/>
    <x v="388"/>
    <x v="3"/>
  </r>
  <r>
    <s v="ORD-01316"/>
    <x v="125"/>
    <x v="69"/>
    <x v="4"/>
    <x v="2"/>
    <x v="0"/>
    <x v="0"/>
    <n v="39"/>
    <n v="108.74"/>
    <x v="4"/>
    <x v="389"/>
    <x v="1"/>
  </r>
  <r>
    <s v="ORD-01310"/>
    <x v="239"/>
    <x v="269"/>
    <x v="0"/>
    <x v="2"/>
    <x v="0"/>
    <x v="0"/>
    <n v="42"/>
    <n v="87.14"/>
    <x v="3"/>
    <x v="390"/>
    <x v="3"/>
  </r>
  <r>
    <s v="ORD-01277"/>
    <x v="240"/>
    <x v="212"/>
    <x v="9"/>
    <x v="4"/>
    <x v="5"/>
    <x v="4"/>
    <n v="28"/>
    <n v="455.26"/>
    <x v="0"/>
    <x v="391"/>
    <x v="0"/>
  </r>
  <r>
    <s v="ORD-01125"/>
    <x v="21"/>
    <x v="21"/>
    <x v="9"/>
    <x v="0"/>
    <x v="7"/>
    <x v="3"/>
    <n v="17"/>
    <n v="1237.6400000000001"/>
    <x v="0"/>
    <x v="21"/>
    <x v="0"/>
  </r>
  <r>
    <s v="ORD-01143"/>
    <x v="147"/>
    <x v="270"/>
    <x v="2"/>
    <x v="0"/>
    <x v="3"/>
    <x v="1"/>
    <n v="40"/>
    <n v="42.83"/>
    <x v="0"/>
    <x v="392"/>
    <x v="0"/>
  </r>
  <r>
    <s v="ORD-01111"/>
    <x v="241"/>
    <x v="271"/>
    <x v="3"/>
    <x v="1"/>
    <x v="1"/>
    <x v="1"/>
    <n v="9"/>
    <n v="72.38"/>
    <x v="4"/>
    <x v="393"/>
    <x v="1"/>
  </r>
  <r>
    <s v="ORD-01324"/>
    <x v="199"/>
    <x v="272"/>
    <x v="10"/>
    <x v="1"/>
    <x v="1"/>
    <x v="1"/>
    <n v="5"/>
    <n v="85.65"/>
    <x v="1"/>
    <x v="394"/>
    <x v="1"/>
  </r>
  <r>
    <s v="ORD-01333"/>
    <x v="236"/>
    <x v="273"/>
    <x v="10"/>
    <x v="0"/>
    <x v="6"/>
    <x v="1"/>
    <n v="16"/>
    <n v="33.450000000000003"/>
    <x v="0"/>
    <x v="395"/>
    <x v="0"/>
  </r>
  <r>
    <s v="ORD-01394"/>
    <x v="242"/>
    <x v="274"/>
    <x v="8"/>
    <x v="1"/>
    <x v="0"/>
    <x v="0"/>
    <n v="40"/>
    <n v="105.67"/>
    <x v="1"/>
    <x v="396"/>
    <x v="1"/>
  </r>
  <r>
    <s v="ORD-01443"/>
    <x v="193"/>
    <x v="275"/>
    <x v="4"/>
    <x v="0"/>
    <x v="3"/>
    <x v="1"/>
    <n v="41"/>
    <n v="45.78"/>
    <x v="0"/>
    <x v="397"/>
    <x v="0"/>
  </r>
  <r>
    <s v="ORD-01108"/>
    <x v="53"/>
    <x v="157"/>
    <x v="0"/>
    <x v="3"/>
    <x v="5"/>
    <x v="4"/>
    <n v="42"/>
    <n v="408.55"/>
    <x v="4"/>
    <x v="398"/>
    <x v="1"/>
  </r>
  <r>
    <s v="ORD-01450"/>
    <x v="130"/>
    <x v="69"/>
    <x v="9"/>
    <x v="3"/>
    <x v="2"/>
    <x v="2"/>
    <n v="35"/>
    <n v="112.38"/>
    <x v="5"/>
    <x v="399"/>
    <x v="3"/>
  </r>
  <r>
    <s v="ORD-01013"/>
    <x v="142"/>
    <x v="276"/>
    <x v="5"/>
    <x v="4"/>
    <x v="3"/>
    <x v="1"/>
    <n v="7"/>
    <n v="43.51"/>
    <x v="0"/>
    <x v="400"/>
    <x v="0"/>
  </r>
  <r>
    <s v="ORD-01273"/>
    <x v="95"/>
    <x v="105"/>
    <x v="2"/>
    <x v="2"/>
    <x v="5"/>
    <x v="4"/>
    <n v="20"/>
    <n v="432.84"/>
    <x v="5"/>
    <x v="401"/>
    <x v="3"/>
  </r>
  <r>
    <s v="ORD-01048"/>
    <x v="166"/>
    <x v="277"/>
    <x v="6"/>
    <x v="2"/>
    <x v="5"/>
    <x v="4"/>
    <n v="15"/>
    <n v="450.07"/>
    <x v="0"/>
    <x v="402"/>
    <x v="0"/>
  </r>
  <r>
    <s v="ORD-01204"/>
    <x v="243"/>
    <x v="6"/>
    <x v="7"/>
    <x v="1"/>
    <x v="3"/>
    <x v="1"/>
    <n v="22"/>
    <n v="46.07"/>
    <x v="0"/>
    <x v="403"/>
    <x v="0"/>
  </r>
  <r>
    <s v="ORD-01432"/>
    <x v="27"/>
    <x v="237"/>
    <x v="1"/>
    <x v="4"/>
    <x v="6"/>
    <x v="1"/>
    <n v="11"/>
    <n v="39.51"/>
    <x v="0"/>
    <x v="404"/>
    <x v="0"/>
  </r>
  <r>
    <s v="ORD-01120"/>
    <x v="180"/>
    <x v="278"/>
    <x v="6"/>
    <x v="2"/>
    <x v="0"/>
    <x v="0"/>
    <n v="29"/>
    <n v="86.98"/>
    <x v="0"/>
    <x v="405"/>
    <x v="0"/>
  </r>
  <r>
    <s v="ORD-01022"/>
    <x v="100"/>
    <x v="236"/>
    <x v="6"/>
    <x v="4"/>
    <x v="1"/>
    <x v="1"/>
    <n v="50"/>
    <n v="78.55"/>
    <x v="0"/>
    <x v="406"/>
    <x v="0"/>
  </r>
  <r>
    <s v="ORD-01403"/>
    <x v="57"/>
    <x v="279"/>
    <x v="5"/>
    <x v="0"/>
    <x v="0"/>
    <x v="0"/>
    <n v="27"/>
    <n v="91.27"/>
    <x v="0"/>
    <x v="407"/>
    <x v="0"/>
  </r>
  <r>
    <s v="ORD-01084"/>
    <x v="48"/>
    <x v="167"/>
    <x v="2"/>
    <x v="1"/>
    <x v="1"/>
    <x v="1"/>
    <n v="18"/>
    <n v="86.17"/>
    <x v="1"/>
    <x v="408"/>
    <x v="1"/>
  </r>
  <r>
    <s v="ORD-01131"/>
    <x v="47"/>
    <x v="280"/>
    <x v="6"/>
    <x v="2"/>
    <x v="3"/>
    <x v="1"/>
    <n v="34"/>
    <n v="49.18"/>
    <x v="5"/>
    <x v="409"/>
    <x v="3"/>
  </r>
  <r>
    <s v="ORD-01451"/>
    <x v="220"/>
    <x v="241"/>
    <x v="1"/>
    <x v="3"/>
    <x v="3"/>
    <x v="1"/>
    <n v="6"/>
    <n v="43.43"/>
    <x v="0"/>
    <x v="344"/>
    <x v="0"/>
  </r>
  <r>
    <s v="ORD-01488"/>
    <x v="196"/>
    <x v="281"/>
    <x v="9"/>
    <x v="0"/>
    <x v="0"/>
    <x v="0"/>
    <n v="16"/>
    <n v="100.17"/>
    <x v="4"/>
    <x v="410"/>
    <x v="1"/>
  </r>
  <r>
    <s v="ORD-01330"/>
    <x v="69"/>
    <x v="282"/>
    <x v="3"/>
    <x v="0"/>
    <x v="5"/>
    <x v="4"/>
    <n v="21"/>
    <n v="465.44"/>
    <x v="0"/>
    <x v="411"/>
    <x v="0"/>
  </r>
  <r>
    <s v="ORD-01230"/>
    <x v="197"/>
    <x v="283"/>
    <x v="5"/>
    <x v="4"/>
    <x v="6"/>
    <x v="1"/>
    <n v="31"/>
    <n v="33.04"/>
    <x v="13"/>
    <x v="412"/>
    <x v="2"/>
  </r>
  <r>
    <s v="ORD-01362"/>
    <x v="45"/>
    <x v="43"/>
    <x v="2"/>
    <x v="1"/>
    <x v="5"/>
    <x v="4"/>
    <n v="44"/>
    <n v="502.17"/>
    <x v="4"/>
    <x v="47"/>
    <x v="1"/>
  </r>
  <r>
    <s v="ORD-01287"/>
    <x v="244"/>
    <x v="59"/>
    <x v="2"/>
    <x v="2"/>
    <x v="7"/>
    <x v="3"/>
    <n v="28"/>
    <n v="1236.0999999999999"/>
    <x v="4"/>
    <x v="413"/>
    <x v="1"/>
  </r>
  <r>
    <s v="ORD-01124"/>
    <x v="140"/>
    <x v="229"/>
    <x v="8"/>
    <x v="3"/>
    <x v="6"/>
    <x v="1"/>
    <n v="2"/>
    <n v="37.29"/>
    <x v="0"/>
    <x v="414"/>
    <x v="0"/>
  </r>
  <r>
    <s v="ORD-01034"/>
    <x v="163"/>
    <x v="136"/>
    <x v="1"/>
    <x v="2"/>
    <x v="0"/>
    <x v="0"/>
    <n v="47"/>
    <n v="90.61"/>
    <x v="3"/>
    <x v="415"/>
    <x v="3"/>
  </r>
  <r>
    <s v="ORD-NEW"/>
    <x v="245"/>
    <x v="284"/>
    <x v="9"/>
    <x v="2"/>
    <x v="3"/>
    <x v="1"/>
    <n v="2"/>
    <n v="49.1"/>
    <x v="3"/>
    <x v="416"/>
    <x v="3"/>
  </r>
  <r>
    <s v="ORD-01005"/>
    <x v="206"/>
    <x v="285"/>
    <x v="5"/>
    <x v="0"/>
    <x v="3"/>
    <x v="1"/>
    <n v="50"/>
    <n v="48.76"/>
    <x v="0"/>
    <x v="417"/>
    <x v="0"/>
  </r>
  <r>
    <s v="ORD-01412"/>
    <x v="246"/>
    <x v="286"/>
    <x v="4"/>
    <x v="4"/>
    <x v="3"/>
    <x v="1"/>
    <n v="29"/>
    <n v="48.08"/>
    <x v="0"/>
    <x v="418"/>
    <x v="0"/>
  </r>
  <r>
    <s v="ORD-01020"/>
    <x v="42"/>
    <x v="46"/>
    <x v="10"/>
    <x v="4"/>
    <x v="2"/>
    <x v="2"/>
    <n v="43"/>
    <n v="133.96"/>
    <x v="4"/>
    <x v="419"/>
    <x v="1"/>
  </r>
  <r>
    <s v="ORD-01220"/>
    <x v="1"/>
    <x v="161"/>
    <x v="9"/>
    <x v="0"/>
    <x v="6"/>
    <x v="1"/>
    <n v="19"/>
    <n v="33.19"/>
    <x v="0"/>
    <x v="420"/>
    <x v="0"/>
  </r>
  <r>
    <s v="ORD-01380"/>
    <x v="157"/>
    <x v="255"/>
    <x v="2"/>
    <x v="2"/>
    <x v="4"/>
    <x v="3"/>
    <n v="15"/>
    <n v="360.93"/>
    <x v="1"/>
    <x v="421"/>
    <x v="1"/>
  </r>
  <r>
    <s v="ORD-01395"/>
    <x v="16"/>
    <x v="6"/>
    <x v="2"/>
    <x v="2"/>
    <x v="6"/>
    <x v="1"/>
    <n v="6"/>
    <n v="34.130000000000003"/>
    <x v="0"/>
    <x v="320"/>
    <x v="0"/>
  </r>
  <r>
    <s v="ORD-01420"/>
    <x v="51"/>
    <x v="212"/>
    <x v="9"/>
    <x v="2"/>
    <x v="4"/>
    <x v="3"/>
    <n v="41"/>
    <n v="357.56"/>
    <x v="4"/>
    <x v="422"/>
    <x v="1"/>
  </r>
  <r>
    <s v="ORD-01357"/>
    <x v="247"/>
    <x v="6"/>
    <x v="3"/>
    <x v="2"/>
    <x v="5"/>
    <x v="4"/>
    <n v="29"/>
    <n v="410.48"/>
    <x v="0"/>
    <x v="423"/>
    <x v="0"/>
  </r>
  <r>
    <s v="ORD-01150"/>
    <x v="134"/>
    <x v="68"/>
    <x v="2"/>
    <x v="0"/>
    <x v="3"/>
    <x v="1"/>
    <n v="2"/>
    <n v="41.87"/>
    <x v="1"/>
    <x v="424"/>
    <x v="1"/>
  </r>
  <r>
    <s v="ORD-NEW"/>
    <x v="83"/>
    <x v="148"/>
    <x v="9"/>
    <x v="0"/>
    <x v="7"/>
    <x v="3"/>
    <n v="21"/>
    <n v="1135.8599999999999"/>
    <x v="5"/>
    <x v="425"/>
    <x v="3"/>
  </r>
  <r>
    <s v="ORD-01248"/>
    <x v="140"/>
    <x v="245"/>
    <x v="4"/>
    <x v="1"/>
    <x v="3"/>
    <x v="1"/>
    <n v="29"/>
    <n v="47.85"/>
    <x v="3"/>
    <x v="426"/>
    <x v="3"/>
  </r>
  <r>
    <s v="ORD-01448"/>
    <x v="154"/>
    <x v="181"/>
    <x v="9"/>
    <x v="4"/>
    <x v="6"/>
    <x v="1"/>
    <n v="20"/>
    <n v="36.42"/>
    <x v="1"/>
    <x v="427"/>
    <x v="1"/>
  </r>
  <r>
    <s v="ORD-01152"/>
    <x v="248"/>
    <x v="287"/>
    <x v="10"/>
    <x v="2"/>
    <x v="5"/>
    <x v="4"/>
    <n v="33"/>
    <n v="447.72"/>
    <x v="0"/>
    <x v="428"/>
    <x v="0"/>
  </r>
  <r>
    <s v="ORD-01491"/>
    <x v="103"/>
    <x v="265"/>
    <x v="7"/>
    <x v="4"/>
    <x v="6"/>
    <x v="1"/>
    <n v="20"/>
    <n v="35.729999999999997"/>
    <x v="0"/>
    <x v="429"/>
    <x v="0"/>
  </r>
  <r>
    <s v="ORD-01318"/>
    <x v="47"/>
    <x v="288"/>
    <x v="3"/>
    <x v="4"/>
    <x v="1"/>
    <x v="1"/>
    <n v="44"/>
    <n v="80.41"/>
    <x v="0"/>
    <x v="430"/>
    <x v="0"/>
  </r>
  <r>
    <s v="ORD-01292"/>
    <x v="153"/>
    <x v="137"/>
    <x v="5"/>
    <x v="1"/>
    <x v="7"/>
    <x v="3"/>
    <n v="43"/>
    <n v="1233.1099999999999"/>
    <x v="3"/>
    <x v="431"/>
    <x v="3"/>
  </r>
  <r>
    <s v="ORD-01234"/>
    <x v="249"/>
    <x v="289"/>
    <x v="9"/>
    <x v="2"/>
    <x v="1"/>
    <x v="1"/>
    <n v="42"/>
    <n v="82.31"/>
    <x v="0"/>
    <x v="432"/>
    <x v="0"/>
  </r>
  <r>
    <s v="ORD-01011"/>
    <x v="250"/>
    <x v="93"/>
    <x v="8"/>
    <x v="2"/>
    <x v="7"/>
    <x v="3"/>
    <n v="5"/>
    <n v="1175.73"/>
    <x v="4"/>
    <x v="433"/>
    <x v="1"/>
  </r>
  <r>
    <s v="ORD-01280"/>
    <x v="213"/>
    <x v="290"/>
    <x v="9"/>
    <x v="1"/>
    <x v="2"/>
    <x v="2"/>
    <n v="29"/>
    <n v="124.93"/>
    <x v="0"/>
    <x v="434"/>
    <x v="0"/>
  </r>
  <r>
    <s v="ORD-01072"/>
    <x v="251"/>
    <x v="66"/>
    <x v="3"/>
    <x v="3"/>
    <x v="0"/>
    <x v="0"/>
    <n v="42"/>
    <n v="96.35"/>
    <x v="5"/>
    <x v="435"/>
    <x v="3"/>
  </r>
  <r>
    <s v="ORD-01253"/>
    <x v="21"/>
    <x v="52"/>
    <x v="6"/>
    <x v="4"/>
    <x v="6"/>
    <x v="1"/>
    <n v="45"/>
    <n v="35.049999999999997"/>
    <x v="5"/>
    <x v="436"/>
    <x v="3"/>
  </r>
  <r>
    <s v="ORD-01093"/>
    <x v="252"/>
    <x v="230"/>
    <x v="9"/>
    <x v="1"/>
    <x v="5"/>
    <x v="4"/>
    <n v="2"/>
    <n v="482.4"/>
    <x v="1"/>
    <x v="437"/>
    <x v="1"/>
  </r>
  <r>
    <s v="ORD-01486"/>
    <x v="204"/>
    <x v="47"/>
    <x v="2"/>
    <x v="2"/>
    <x v="7"/>
    <x v="3"/>
    <n v="20"/>
    <n v="1231.72"/>
    <x v="5"/>
    <x v="438"/>
    <x v="3"/>
  </r>
  <r>
    <s v="ORD-01350"/>
    <x v="88"/>
    <x v="291"/>
    <x v="9"/>
    <x v="2"/>
    <x v="0"/>
    <x v="0"/>
    <n v="19"/>
    <n v="106.49"/>
    <x v="3"/>
    <x v="439"/>
    <x v="3"/>
  </r>
  <r>
    <s v="ORD-01416"/>
    <x v="253"/>
    <x v="292"/>
    <x v="5"/>
    <x v="0"/>
    <x v="4"/>
    <x v="3"/>
    <n v="23"/>
    <n v="348.94"/>
    <x v="0"/>
    <x v="440"/>
    <x v="0"/>
  </r>
  <r>
    <s v="ORD-01375"/>
    <x v="84"/>
    <x v="293"/>
    <x v="7"/>
    <x v="4"/>
    <x v="5"/>
    <x v="4"/>
    <n v="45"/>
    <n v="429.87"/>
    <x v="4"/>
    <x v="441"/>
    <x v="1"/>
  </r>
  <r>
    <s v="ORD-01401"/>
    <x v="102"/>
    <x v="294"/>
    <x v="4"/>
    <x v="2"/>
    <x v="5"/>
    <x v="4"/>
    <n v="31"/>
    <n v="467.69"/>
    <x v="4"/>
    <x v="442"/>
    <x v="1"/>
  </r>
  <r>
    <s v="ORD-01193"/>
    <x v="154"/>
    <x v="12"/>
    <x v="5"/>
    <x v="4"/>
    <x v="4"/>
    <x v="3"/>
    <n v="41"/>
    <n v="333.93"/>
    <x v="5"/>
    <x v="443"/>
    <x v="3"/>
  </r>
  <r>
    <s v="ORD-01258"/>
    <x v="254"/>
    <x v="249"/>
    <x v="7"/>
    <x v="1"/>
    <x v="5"/>
    <x v="4"/>
    <n v="6"/>
    <n v="418.21"/>
    <x v="4"/>
    <x v="444"/>
    <x v="1"/>
  </r>
  <r>
    <s v="ORD-01489"/>
    <x v="255"/>
    <x v="295"/>
    <x v="3"/>
    <x v="2"/>
    <x v="4"/>
    <x v="3"/>
    <n v="44"/>
    <n v="341.34"/>
    <x v="4"/>
    <x v="445"/>
    <x v="1"/>
  </r>
  <r>
    <s v="ORD-01340"/>
    <x v="37"/>
    <x v="296"/>
    <x v="8"/>
    <x v="0"/>
    <x v="3"/>
    <x v="1"/>
    <n v="25"/>
    <n v="49.76"/>
    <x v="0"/>
    <x v="446"/>
    <x v="0"/>
  </r>
  <r>
    <s v="ORD-01498"/>
    <x v="44"/>
    <x v="297"/>
    <x v="6"/>
    <x v="3"/>
    <x v="1"/>
    <x v="1"/>
    <n v="27"/>
    <n v="91.55"/>
    <x v="0"/>
    <x v="447"/>
    <x v="0"/>
  </r>
  <r>
    <s v="ORD-01196"/>
    <x v="45"/>
    <x v="298"/>
    <x v="4"/>
    <x v="1"/>
    <x v="6"/>
    <x v="1"/>
    <n v="38"/>
    <n v="39.700000000000003"/>
    <x v="1"/>
    <x v="448"/>
    <x v="1"/>
  </r>
  <r>
    <s v="ORD-01344"/>
    <x v="256"/>
    <x v="299"/>
    <x v="9"/>
    <x v="4"/>
    <x v="0"/>
    <x v="0"/>
    <n v="50"/>
    <n v="107.76"/>
    <x v="0"/>
    <x v="449"/>
    <x v="0"/>
  </r>
  <r>
    <s v="ORD-01138"/>
    <x v="58"/>
    <x v="300"/>
    <x v="1"/>
    <x v="3"/>
    <x v="6"/>
    <x v="1"/>
    <n v="8"/>
    <n v="36.380000000000003"/>
    <x v="0"/>
    <x v="450"/>
    <x v="0"/>
  </r>
  <r>
    <s v="ORD-01261"/>
    <x v="257"/>
    <x v="104"/>
    <x v="5"/>
    <x v="4"/>
    <x v="2"/>
    <x v="2"/>
    <n v="6"/>
    <n v="126.44"/>
    <x v="14"/>
    <x v="451"/>
    <x v="3"/>
  </r>
  <r>
    <s v="ORD-01039"/>
    <x v="132"/>
    <x v="146"/>
    <x v="3"/>
    <x v="1"/>
    <x v="4"/>
    <x v="3"/>
    <n v="44"/>
    <n v="340.34"/>
    <x v="15"/>
    <x v="452"/>
    <x v="3"/>
  </r>
  <r>
    <s v="ORD-01463"/>
    <x v="34"/>
    <x v="301"/>
    <x v="3"/>
    <x v="2"/>
    <x v="4"/>
    <x v="3"/>
    <n v="22"/>
    <n v="353.73"/>
    <x v="0"/>
    <x v="453"/>
    <x v="0"/>
  </r>
  <r>
    <s v="ORD-01202"/>
    <x v="258"/>
    <x v="302"/>
    <x v="1"/>
    <x v="2"/>
    <x v="7"/>
    <x v="3"/>
    <n v="23"/>
    <n v="13791.5"/>
    <x v="6"/>
    <x v="454"/>
    <x v="2"/>
  </r>
  <r>
    <s v="ORD-01475"/>
    <x v="42"/>
    <x v="38"/>
    <x v="3"/>
    <x v="2"/>
    <x v="7"/>
    <x v="3"/>
    <n v="50"/>
    <n v="1097.6199999999999"/>
    <x v="0"/>
    <x v="455"/>
    <x v="0"/>
  </r>
  <r>
    <s v="ORD-01291"/>
    <x v="138"/>
    <x v="303"/>
    <x v="5"/>
    <x v="0"/>
    <x v="7"/>
    <x v="3"/>
    <n v="5"/>
    <n v="1107.28"/>
    <x v="5"/>
    <x v="456"/>
    <x v="3"/>
  </r>
  <r>
    <s v="ORD-01449"/>
    <x v="259"/>
    <x v="155"/>
    <x v="6"/>
    <x v="3"/>
    <x v="5"/>
    <x v="4"/>
    <n v="40"/>
    <n v="429.89"/>
    <x v="0"/>
    <x v="457"/>
    <x v="0"/>
  </r>
  <r>
    <s v="ORD-01190"/>
    <x v="117"/>
    <x v="6"/>
    <x v="1"/>
    <x v="2"/>
    <x v="3"/>
    <x v="1"/>
    <n v="16"/>
    <n v="47.77"/>
    <x v="0"/>
    <x v="458"/>
    <x v="0"/>
  </r>
  <r>
    <s v="ORD-01252"/>
    <x v="260"/>
    <x v="166"/>
    <x v="1"/>
    <x v="0"/>
    <x v="2"/>
    <x v="2"/>
    <n v="32"/>
    <n v="117.2"/>
    <x v="0"/>
    <x v="459"/>
    <x v="0"/>
  </r>
  <r>
    <s v="ORD-01113"/>
    <x v="74"/>
    <x v="304"/>
    <x v="9"/>
    <x v="4"/>
    <x v="7"/>
    <x v="3"/>
    <n v="19"/>
    <n v="1125.43"/>
    <x v="0"/>
    <x v="460"/>
    <x v="0"/>
  </r>
  <r>
    <s v="ORD-01438"/>
    <x v="188"/>
    <x v="305"/>
    <x v="4"/>
    <x v="4"/>
    <x v="6"/>
    <x v="1"/>
    <n v="34"/>
    <n v="33.79"/>
    <x v="0"/>
    <x v="461"/>
    <x v="0"/>
  </r>
  <r>
    <s v="ORD-01184"/>
    <x v="229"/>
    <x v="306"/>
    <x v="2"/>
    <x v="4"/>
    <x v="7"/>
    <x v="3"/>
    <n v="17"/>
    <n v="1360.51"/>
    <x v="0"/>
    <x v="462"/>
    <x v="0"/>
  </r>
  <r>
    <s v="ORD-01153"/>
    <x v="254"/>
    <x v="307"/>
    <x v="2"/>
    <x v="3"/>
    <x v="0"/>
    <x v="0"/>
    <n v="37"/>
    <n v="108.78"/>
    <x v="0"/>
    <x v="463"/>
    <x v="0"/>
  </r>
  <r>
    <s v="ORD-01313"/>
    <x v="261"/>
    <x v="308"/>
    <x v="9"/>
    <x v="3"/>
    <x v="3"/>
    <x v="1"/>
    <n v="25"/>
    <n v="45.1"/>
    <x v="5"/>
    <x v="464"/>
    <x v="3"/>
  </r>
  <r>
    <s v="ORD-01326"/>
    <x v="229"/>
    <x v="309"/>
    <x v="3"/>
    <x v="1"/>
    <x v="4"/>
    <x v="3"/>
    <n v="9"/>
    <n v="331.14"/>
    <x v="3"/>
    <x v="465"/>
    <x v="3"/>
  </r>
  <r>
    <s v="ORD-01192"/>
    <x v="52"/>
    <x v="256"/>
    <x v="7"/>
    <x v="1"/>
    <x v="1"/>
    <x v="1"/>
    <n v="43"/>
    <n v="73.790000000000006"/>
    <x v="4"/>
    <x v="466"/>
    <x v="1"/>
  </r>
  <r>
    <s v="ORD-01045"/>
    <x v="88"/>
    <x v="124"/>
    <x v="8"/>
    <x v="4"/>
    <x v="7"/>
    <x v="3"/>
    <n v="49"/>
    <n v="1298.25"/>
    <x v="4"/>
    <x v="467"/>
    <x v="1"/>
  </r>
  <r>
    <s v="ORD-01445"/>
    <x v="262"/>
    <x v="88"/>
    <x v="2"/>
    <x v="4"/>
    <x v="6"/>
    <x v="1"/>
    <n v="18"/>
    <n v="39.5"/>
    <x v="1"/>
    <x v="468"/>
    <x v="1"/>
  </r>
  <r>
    <s v="ORD-01276"/>
    <x v="0"/>
    <x v="108"/>
    <x v="7"/>
    <x v="3"/>
    <x v="5"/>
    <x v="4"/>
    <n v="46"/>
    <n v="414.21"/>
    <x v="3"/>
    <x v="469"/>
    <x v="3"/>
  </r>
  <r>
    <s v="ORD-01007"/>
    <x v="263"/>
    <x v="103"/>
    <x v="3"/>
    <x v="3"/>
    <x v="5"/>
    <x v="4"/>
    <n v="13"/>
    <n v="514.73"/>
    <x v="1"/>
    <x v="470"/>
    <x v="1"/>
  </r>
  <r>
    <s v="ORD-01251"/>
    <x v="76"/>
    <x v="310"/>
    <x v="6"/>
    <x v="3"/>
    <x v="1"/>
    <x v="1"/>
    <n v="12"/>
    <n v="74.36"/>
    <x v="0"/>
    <x v="471"/>
    <x v="0"/>
  </r>
  <r>
    <s v="ORD-01312"/>
    <x v="264"/>
    <x v="311"/>
    <x v="7"/>
    <x v="3"/>
    <x v="0"/>
    <x v="0"/>
    <n v="24"/>
    <n v="86.25"/>
    <x v="16"/>
    <x v="472"/>
    <x v="2"/>
  </r>
  <r>
    <s v="ORD-01076"/>
    <x v="19"/>
    <x v="198"/>
    <x v="10"/>
    <x v="0"/>
    <x v="3"/>
    <x v="1"/>
    <n v="7"/>
    <n v="47.4"/>
    <x v="1"/>
    <x v="473"/>
    <x v="1"/>
  </r>
  <r>
    <s v="ORD-01001"/>
    <x v="265"/>
    <x v="141"/>
    <x v="3"/>
    <x v="4"/>
    <x v="5"/>
    <x v="4"/>
    <n v="20"/>
    <n v="427.95"/>
    <x v="4"/>
    <x v="474"/>
    <x v="1"/>
  </r>
  <r>
    <s v="ORD-01429"/>
    <x v="266"/>
    <x v="39"/>
    <x v="9"/>
    <x v="3"/>
    <x v="7"/>
    <x v="3"/>
    <n v="34"/>
    <n v="1152.78"/>
    <x v="0"/>
    <x v="475"/>
    <x v="0"/>
  </r>
  <r>
    <s v="ORD-01392"/>
    <x v="168"/>
    <x v="182"/>
    <x v="2"/>
    <x v="0"/>
    <x v="3"/>
    <x v="1"/>
    <n v="36"/>
    <n v="48.99"/>
    <x v="1"/>
    <x v="476"/>
    <x v="1"/>
  </r>
  <r>
    <s v="ORD-01384"/>
    <x v="116"/>
    <x v="189"/>
    <x v="1"/>
    <x v="2"/>
    <x v="4"/>
    <x v="3"/>
    <n v="16"/>
    <n v="365.78"/>
    <x v="0"/>
    <x v="477"/>
    <x v="0"/>
  </r>
  <r>
    <s v="ORD-01433"/>
    <x v="115"/>
    <x v="113"/>
    <x v="7"/>
    <x v="1"/>
    <x v="1"/>
    <x v="1"/>
    <n v="11"/>
    <n v="83.04"/>
    <x v="5"/>
    <x v="478"/>
    <x v="3"/>
  </r>
  <r>
    <s v="ORD-01069"/>
    <x v="32"/>
    <x v="30"/>
    <x v="8"/>
    <x v="2"/>
    <x v="7"/>
    <x v="3"/>
    <n v="9"/>
    <n v="1121.1099999999999"/>
    <x v="14"/>
    <x v="479"/>
    <x v="3"/>
  </r>
  <r>
    <s v="ORD-01487"/>
    <x v="148"/>
    <x v="312"/>
    <x v="5"/>
    <x v="3"/>
    <x v="4"/>
    <x v="3"/>
    <n v="31"/>
    <n v="317.86"/>
    <x v="0"/>
    <x v="480"/>
    <x v="0"/>
  </r>
  <r>
    <s v="ORD-01168"/>
    <x v="61"/>
    <x v="265"/>
    <x v="10"/>
    <x v="3"/>
    <x v="3"/>
    <x v="1"/>
    <n v="6"/>
    <n v="42.04"/>
    <x v="4"/>
    <x v="481"/>
    <x v="1"/>
  </r>
  <r>
    <s v="ORD-01393"/>
    <x v="11"/>
    <x v="313"/>
    <x v="3"/>
    <x v="0"/>
    <x v="4"/>
    <x v="3"/>
    <n v="9"/>
    <n v="325.88"/>
    <x v="17"/>
    <x v="482"/>
    <x v="3"/>
  </r>
  <r>
    <s v="ORD-01219"/>
    <x v="140"/>
    <x v="314"/>
    <x v="4"/>
    <x v="4"/>
    <x v="4"/>
    <x v="3"/>
    <n v="3"/>
    <n v="325.44"/>
    <x v="0"/>
    <x v="483"/>
    <x v="0"/>
  </r>
  <r>
    <s v="ORD-01043"/>
    <x v="195"/>
    <x v="315"/>
    <x v="9"/>
    <x v="4"/>
    <x v="3"/>
    <x v="1"/>
    <n v="40"/>
    <n v="45.35"/>
    <x v="1"/>
    <x v="484"/>
    <x v="1"/>
  </r>
  <r>
    <s v="ORD-01367"/>
    <x v="211"/>
    <x v="149"/>
    <x v="7"/>
    <x v="1"/>
    <x v="4"/>
    <x v="3"/>
    <n v="5"/>
    <n v="346.52"/>
    <x v="0"/>
    <x v="485"/>
    <x v="0"/>
  </r>
  <r>
    <s v="ORD-01346"/>
    <x v="267"/>
    <x v="316"/>
    <x v="10"/>
    <x v="2"/>
    <x v="5"/>
    <x v="4"/>
    <n v="46"/>
    <n v="417.7"/>
    <x v="0"/>
    <x v="486"/>
    <x v="0"/>
  </r>
  <r>
    <s v="ORD-01073"/>
    <x v="110"/>
    <x v="101"/>
    <x v="7"/>
    <x v="2"/>
    <x v="4"/>
    <x v="3"/>
    <n v="31"/>
    <n v="336.5"/>
    <x v="5"/>
    <x v="487"/>
    <x v="3"/>
  </r>
  <r>
    <s v="ORD-01024"/>
    <x v="268"/>
    <x v="263"/>
    <x v="9"/>
    <x v="0"/>
    <x v="0"/>
    <x v="0"/>
    <n v="9"/>
    <n v="92.93"/>
    <x v="3"/>
    <x v="488"/>
    <x v="3"/>
  </r>
  <r>
    <s v="ORD-01399"/>
    <x v="269"/>
    <x v="241"/>
    <x v="2"/>
    <x v="3"/>
    <x v="6"/>
    <x v="1"/>
    <n v="46"/>
    <n v="36.42"/>
    <x v="1"/>
    <x v="489"/>
    <x v="1"/>
  </r>
  <r>
    <s v="ORD-01186"/>
    <x v="270"/>
    <x v="265"/>
    <x v="2"/>
    <x v="2"/>
    <x v="0"/>
    <x v="0"/>
    <n v="2"/>
    <n v="96.84"/>
    <x v="0"/>
    <x v="490"/>
    <x v="0"/>
  </r>
  <r>
    <s v="ORD-01349"/>
    <x v="271"/>
    <x v="27"/>
    <x v="4"/>
    <x v="4"/>
    <x v="4"/>
    <x v="3"/>
    <n v="40"/>
    <n v="349.28"/>
    <x v="0"/>
    <x v="491"/>
    <x v="0"/>
  </r>
  <r>
    <s v="ORD-01104"/>
    <x v="272"/>
    <x v="250"/>
    <x v="6"/>
    <x v="3"/>
    <x v="7"/>
    <x v="3"/>
    <n v="2"/>
    <n v="1265.92"/>
    <x v="0"/>
    <x v="492"/>
    <x v="0"/>
  </r>
  <r>
    <s v="ORD-01408"/>
    <x v="95"/>
    <x v="317"/>
    <x v="6"/>
    <x v="1"/>
    <x v="3"/>
    <x v="1"/>
    <n v="9"/>
    <n v="41.54"/>
    <x v="5"/>
    <x v="493"/>
    <x v="3"/>
  </r>
  <r>
    <s v="ORD-01212"/>
    <x v="14"/>
    <x v="318"/>
    <x v="9"/>
    <x v="1"/>
    <x v="1"/>
    <x v="1"/>
    <n v="41"/>
    <n v="91.66"/>
    <x v="4"/>
    <x v="494"/>
    <x v="1"/>
  </r>
  <r>
    <s v="ORD-01068"/>
    <x v="210"/>
    <x v="6"/>
    <x v="5"/>
    <x v="2"/>
    <x v="0"/>
    <x v="0"/>
    <n v="39"/>
    <n v="86.58"/>
    <x v="0"/>
    <x v="495"/>
    <x v="0"/>
  </r>
  <r>
    <s v="ORD-01375"/>
    <x v="84"/>
    <x v="293"/>
    <x v="7"/>
    <x v="4"/>
    <x v="5"/>
    <x v="4"/>
    <n v="45"/>
    <n v="429.87"/>
    <x v="4"/>
    <x v="441"/>
    <x v="1"/>
  </r>
  <r>
    <s v="ORD-01026"/>
    <x v="248"/>
    <x v="128"/>
    <x v="6"/>
    <x v="1"/>
    <x v="1"/>
    <x v="1"/>
    <n v="25"/>
    <n v="81.97"/>
    <x v="0"/>
    <x v="496"/>
    <x v="0"/>
  </r>
  <r>
    <s v="ORD-01197"/>
    <x v="273"/>
    <x v="50"/>
    <x v="1"/>
    <x v="3"/>
    <x v="3"/>
    <x v="1"/>
    <n v="48"/>
    <n v="50.77"/>
    <x v="1"/>
    <x v="497"/>
    <x v="1"/>
  </r>
  <r>
    <s v="ORD-01176"/>
    <x v="133"/>
    <x v="80"/>
    <x v="7"/>
    <x v="4"/>
    <x v="5"/>
    <x v="4"/>
    <n v="36"/>
    <n v="451.5"/>
    <x v="3"/>
    <x v="498"/>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8AB482-8935-41AF-B2E1-E68E775E7E4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Sales_Rep">
  <location ref="A53:D65" firstHeaderRow="0" firstDataRow="1" firstDataCol="1"/>
  <pivotFields count="14">
    <pivotField dataField="1" showAll="0"/>
    <pivotField numFmtId="14" showAll="0">
      <items count="275">
        <item x="47"/>
        <item x="65"/>
        <item x="12"/>
        <item x="138"/>
        <item x="46"/>
        <item x="125"/>
        <item x="8"/>
        <item x="207"/>
        <item x="90"/>
        <item x="264"/>
        <item x="120"/>
        <item x="170"/>
        <item x="108"/>
        <item x="112"/>
        <item x="202"/>
        <item x="204"/>
        <item x="179"/>
        <item x="167"/>
        <item x="67"/>
        <item x="238"/>
        <item x="156"/>
        <item x="82"/>
        <item x="161"/>
        <item x="203"/>
        <item x="80"/>
        <item x="251"/>
        <item x="119"/>
        <item x="248"/>
        <item x="34"/>
        <item x="95"/>
        <item x="58"/>
        <item x="24"/>
        <item x="122"/>
        <item x="173"/>
        <item x="144"/>
        <item x="206"/>
        <item x="153"/>
        <item x="103"/>
        <item x="182"/>
        <item x="52"/>
        <item x="49"/>
        <item x="141"/>
        <item x="20"/>
        <item x="246"/>
        <item x="268"/>
        <item x="60"/>
        <item x="233"/>
        <item x="186"/>
        <item x="154"/>
        <item x="63"/>
        <item x="66"/>
        <item x="143"/>
        <item x="32"/>
        <item x="7"/>
        <item x="263"/>
        <item x="239"/>
        <item x="21"/>
        <item x="271"/>
        <item x="93"/>
        <item x="256"/>
        <item x="133"/>
        <item x="61"/>
        <item x="235"/>
        <item x="68"/>
        <item x="155"/>
        <item x="209"/>
        <item x="89"/>
        <item x="253"/>
        <item x="247"/>
        <item x="41"/>
        <item x="159"/>
        <item x="200"/>
        <item x="259"/>
        <item x="117"/>
        <item x="150"/>
        <item x="197"/>
        <item x="199"/>
        <item x="135"/>
        <item x="79"/>
        <item x="97"/>
        <item x="175"/>
        <item x="255"/>
        <item x="216"/>
        <item x="109"/>
        <item x="72"/>
        <item x="272"/>
        <item x="222"/>
        <item x="39"/>
        <item x="50"/>
        <item x="19"/>
        <item x="43"/>
        <item x="172"/>
        <item x="107"/>
        <item x="229"/>
        <item x="190"/>
        <item x="118"/>
        <item x="181"/>
        <item x="104"/>
        <item x="3"/>
        <item x="180"/>
        <item x="226"/>
        <item x="230"/>
        <item x="55"/>
        <item x="165"/>
        <item x="232"/>
        <item x="83"/>
        <item x="188"/>
        <item x="126"/>
        <item x="54"/>
        <item x="128"/>
        <item x="110"/>
        <item x="157"/>
        <item x="36"/>
        <item x="136"/>
        <item x="234"/>
        <item x="183"/>
        <item x="22"/>
        <item x="129"/>
        <item x="185"/>
        <item x="236"/>
        <item x="174"/>
        <item x="139"/>
        <item x="176"/>
        <item x="214"/>
        <item x="88"/>
        <item x="273"/>
        <item x="258"/>
        <item x="252"/>
        <item x="37"/>
        <item x="59"/>
        <item x="145"/>
        <item x="44"/>
        <item x="269"/>
        <item x="142"/>
        <item x="149"/>
        <item x="262"/>
        <item x="77"/>
        <item x="208"/>
        <item x="227"/>
        <item x="6"/>
        <item x="151"/>
        <item x="189"/>
        <item x="18"/>
        <item x="74"/>
        <item x="130"/>
        <item x="177"/>
        <item x="11"/>
        <item x="160"/>
        <item x="16"/>
        <item x="217"/>
        <item x="45"/>
        <item x="99"/>
        <item x="244"/>
        <item x="257"/>
        <item x="71"/>
        <item x="191"/>
        <item x="30"/>
        <item x="158"/>
        <item x="152"/>
        <item x="4"/>
        <item x="187"/>
        <item x="169"/>
        <item x="184"/>
        <item x="28"/>
        <item x="92"/>
        <item x="53"/>
        <item x="195"/>
        <item x="31"/>
        <item x="69"/>
        <item x="148"/>
        <item x="25"/>
        <item x="70"/>
        <item x="96"/>
        <item x="10"/>
        <item x="219"/>
        <item x="124"/>
        <item x="116"/>
        <item x="164"/>
        <item x="40"/>
        <item x="237"/>
        <item x="2"/>
        <item x="171"/>
        <item x="14"/>
        <item x="261"/>
        <item x="228"/>
        <item x="266"/>
        <item x="94"/>
        <item x="1"/>
        <item x="224"/>
        <item x="15"/>
        <item x="78"/>
        <item x="26"/>
        <item x="91"/>
        <item x="218"/>
        <item x="51"/>
        <item x="198"/>
        <item x="267"/>
        <item x="98"/>
        <item x="64"/>
        <item x="223"/>
        <item x="250"/>
        <item x="166"/>
        <item x="137"/>
        <item x="123"/>
        <item x="9"/>
        <item x="111"/>
        <item x="76"/>
        <item x="105"/>
        <item x="196"/>
        <item x="81"/>
        <item x="163"/>
        <item x="221"/>
        <item x="231"/>
        <item x="23"/>
        <item x="35"/>
        <item x="220"/>
        <item x="29"/>
        <item x="42"/>
        <item x="75"/>
        <item x="127"/>
        <item x="245"/>
        <item x="101"/>
        <item x="194"/>
        <item x="212"/>
        <item x="85"/>
        <item x="241"/>
        <item x="210"/>
        <item x="86"/>
        <item x="225"/>
        <item x="211"/>
        <item x="33"/>
        <item x="168"/>
        <item x="254"/>
        <item x="205"/>
        <item x="146"/>
        <item x="242"/>
        <item x="134"/>
        <item x="5"/>
        <item x="121"/>
        <item x="102"/>
        <item x="193"/>
        <item x="270"/>
        <item x="192"/>
        <item x="140"/>
        <item x="113"/>
        <item x="162"/>
        <item x="114"/>
        <item x="115"/>
        <item x="213"/>
        <item x="201"/>
        <item x="243"/>
        <item x="131"/>
        <item x="0"/>
        <item x="260"/>
        <item x="240"/>
        <item x="147"/>
        <item x="57"/>
        <item x="265"/>
        <item x="73"/>
        <item x="17"/>
        <item x="13"/>
        <item x="249"/>
        <item x="106"/>
        <item x="48"/>
        <item x="215"/>
        <item x="56"/>
        <item x="27"/>
        <item x="100"/>
        <item x="132"/>
        <item x="84"/>
        <item x="87"/>
        <item x="38"/>
        <item x="62"/>
        <item x="178"/>
        <item t="default"/>
      </items>
    </pivotField>
    <pivotField showAll="0"/>
    <pivotField axis="axisRow" showAll="0" sortType="descending">
      <items count="12">
        <item x="4"/>
        <item x="1"/>
        <item x="2"/>
        <item x="5"/>
        <item x="10"/>
        <item x="3"/>
        <item x="6"/>
        <item x="9"/>
        <item x="8"/>
        <item x="7"/>
        <item x="0"/>
        <item t="default"/>
      </items>
      <autoSortScope>
        <pivotArea dataOnly="0" outline="0" fieldPosition="0">
          <references count="1">
            <reference field="4294967294" count="1" selected="0">
              <x v="2"/>
            </reference>
          </references>
        </pivotArea>
      </autoSortScope>
    </pivotField>
    <pivotField showAll="0">
      <items count="6">
        <item x="1"/>
        <item x="3"/>
        <item x="4"/>
        <item x="0"/>
        <item x="2"/>
        <item t="default"/>
      </items>
    </pivotField>
    <pivotField showAll="0">
      <items count="9">
        <item x="4"/>
        <item x="2"/>
        <item x="1"/>
        <item x="7"/>
        <item x="5"/>
        <item x="3"/>
        <item x="6"/>
        <item x="0"/>
        <item t="default"/>
      </items>
    </pivotField>
    <pivotField showAll="0">
      <items count="6">
        <item x="2"/>
        <item x="3"/>
        <item x="4"/>
        <item x="1"/>
        <item x="0"/>
        <item t="default"/>
      </items>
    </pivotField>
    <pivotField showAll="0"/>
    <pivotField showAll="0"/>
    <pivotField showAll="0"/>
    <pivotField dataField="1" showAll="0">
      <items count="500">
        <item x="334"/>
        <item x="424"/>
        <item x="414"/>
        <item x="223"/>
        <item x="219"/>
        <item x="141"/>
        <item x="416"/>
        <item x="271"/>
        <item x="155"/>
        <item x="362"/>
        <item x="99"/>
        <item x="118"/>
        <item x="387"/>
        <item x="322"/>
        <item x="490"/>
        <item x="481"/>
        <item x="320"/>
        <item x="209"/>
        <item x="165"/>
        <item x="167"/>
        <item x="323"/>
        <item x="353"/>
        <item x="261"/>
        <item x="344"/>
        <item x="473"/>
        <item x="144"/>
        <item x="42"/>
        <item x="450"/>
        <item x="247"/>
        <item x="228"/>
        <item x="250"/>
        <item x="400"/>
        <item x="161"/>
        <item x="12"/>
        <item x="493"/>
        <item x="394"/>
        <item x="93"/>
        <item x="189"/>
        <item x="54"/>
        <item x="133"/>
        <item x="140"/>
        <item x="81"/>
        <item x="404"/>
        <item x="242"/>
        <item x="101"/>
        <item x="64"/>
        <item x="152"/>
        <item x="83"/>
        <item x="48"/>
        <item x="244"/>
        <item x="393"/>
        <item x="272"/>
        <item x="108"/>
        <item x="395"/>
        <item x="154"/>
        <item x="159"/>
        <item x="37"/>
        <item x="412"/>
        <item x="201"/>
        <item x="175"/>
        <item x="468"/>
        <item x="427"/>
        <item x="346"/>
        <item x="420"/>
        <item x="116"/>
        <item x="173"/>
        <item x="274"/>
        <item x="284"/>
        <item x="32"/>
        <item x="429"/>
        <item x="488"/>
        <item x="267"/>
        <item x="458"/>
        <item x="372"/>
        <item x="43"/>
        <item x="1"/>
        <item x="72"/>
        <item x="437"/>
        <item x="385"/>
        <item x="168"/>
        <item x="478"/>
        <item x="114"/>
        <item x="200"/>
        <item x="110"/>
        <item x="364"/>
        <item x="471"/>
        <item x="265"/>
        <item x="120"/>
        <item x="330"/>
        <item x="130"/>
        <item x="60"/>
        <item x="252"/>
        <item x="202"/>
        <item x="174"/>
        <item x="20"/>
        <item x="347"/>
        <item x="275"/>
        <item x="293"/>
        <item x="483"/>
        <item x="451"/>
        <item x="4"/>
        <item x="403"/>
        <item x="18"/>
        <item x="146"/>
        <item x="248"/>
        <item x="321"/>
        <item x="15"/>
        <item x="117"/>
        <item x="296"/>
        <item x="464"/>
        <item x="335"/>
        <item x="52"/>
        <item x="308"/>
        <item x="461"/>
        <item x="8"/>
        <item x="340"/>
        <item x="178"/>
        <item x="194"/>
        <item x="365"/>
        <item x="24"/>
        <item x="84"/>
        <item x="369"/>
        <item x="185"/>
        <item x="91"/>
        <item x="446"/>
        <item x="426"/>
        <item x="278"/>
        <item x="137"/>
        <item x="179"/>
        <item x="145"/>
        <item x="142"/>
        <item x="410"/>
        <item x="448"/>
        <item x="70"/>
        <item x="378"/>
        <item x="283"/>
        <item x="408"/>
        <item x="82"/>
        <item x="221"/>
        <item x="11"/>
        <item x="3"/>
        <item x="260"/>
        <item x="418"/>
        <item x="214"/>
        <item x="7"/>
        <item x="199"/>
        <item x="489"/>
        <item x="41"/>
        <item x="183"/>
        <item x="376"/>
        <item x="55"/>
        <item x="88"/>
        <item x="436"/>
        <item x="312"/>
        <item x="476"/>
        <item x="324"/>
        <item x="29"/>
        <item x="23"/>
        <item x="484"/>
        <item x="124"/>
        <item x="472"/>
        <item x="125"/>
        <item x="409"/>
        <item x="351"/>
        <item x="374"/>
        <item x="46"/>
        <item x="73"/>
        <item x="234"/>
        <item x="384"/>
        <item x="302"/>
        <item x="358"/>
        <item x="307"/>
        <item x="169"/>
        <item x="57"/>
        <item x="129"/>
        <item x="366"/>
        <item x="177"/>
        <item x="63"/>
        <item x="392"/>
        <item x="300"/>
        <item x="485"/>
        <item x="220"/>
        <item x="251"/>
        <item x="319"/>
        <item x="85"/>
        <item x="233"/>
        <item x="107"/>
        <item x="153"/>
        <item x="306"/>
        <item x="59"/>
        <item x="256"/>
        <item x="439"/>
        <item x="359"/>
        <item x="397"/>
        <item x="213"/>
        <item x="314"/>
        <item x="243"/>
        <item x="206"/>
        <item x="106"/>
        <item x="49"/>
        <item x="287"/>
        <item x="143"/>
        <item x="156"/>
        <item x="444"/>
        <item x="297"/>
        <item x="496"/>
        <item x="497"/>
        <item x="361"/>
        <item x="258"/>
        <item x="172"/>
        <item x="224"/>
        <item x="45"/>
        <item x="197"/>
        <item x="40"/>
        <item x="16"/>
        <item x="317"/>
        <item x="309"/>
        <item x="104"/>
        <item x="17"/>
        <item x="2"/>
        <item x="417"/>
        <item x="163"/>
        <item x="407"/>
        <item x="447"/>
        <item x="305"/>
        <item x="170"/>
        <item x="86"/>
        <item x="405"/>
        <item x="13"/>
        <item x="51"/>
        <item x="492"/>
        <item x="466"/>
        <item x="95"/>
        <item x="375"/>
        <item x="350"/>
        <item x="149"/>
        <item x="0"/>
        <item x="241"/>
        <item x="53"/>
        <item x="111"/>
        <item x="465"/>
        <item x="196"/>
        <item x="35"/>
        <item x="187"/>
        <item x="218"/>
        <item x="310"/>
        <item x="139"/>
        <item x="249"/>
        <item x="246"/>
        <item x="294"/>
        <item x="126"/>
        <item x="74"/>
        <item x="383"/>
        <item x="105"/>
        <item x="148"/>
        <item x="150"/>
        <item x="238"/>
        <item x="494"/>
        <item x="210"/>
        <item x="127"/>
        <item x="236"/>
        <item x="388"/>
        <item x="191"/>
        <item x="157"/>
        <item x="217"/>
        <item x="390"/>
        <item x="495"/>
        <item x="389"/>
        <item x="164"/>
        <item x="25"/>
        <item x="58"/>
        <item x="257"/>
        <item x="87"/>
        <item x="115"/>
        <item x="67"/>
        <item x="230"/>
        <item x="328"/>
        <item x="357"/>
        <item x="75"/>
        <item x="186"/>
        <item x="207"/>
        <item x="432"/>
        <item x="62"/>
        <item x="430"/>
        <item x="396"/>
        <item x="434"/>
        <item x="134"/>
        <item x="399"/>
        <item x="68"/>
        <item x="459"/>
        <item x="377"/>
        <item x="281"/>
        <item x="27"/>
        <item x="263"/>
        <item x="98"/>
        <item x="415"/>
        <item x="71"/>
        <item x="435"/>
        <item x="138"/>
        <item x="288"/>
        <item x="162"/>
        <item x="135"/>
        <item x="406"/>
        <item x="166"/>
        <item x="482"/>
        <item x="245"/>
        <item x="5"/>
        <item x="463"/>
        <item x="285"/>
        <item x="92"/>
        <item x="192"/>
        <item x="341"/>
        <item x="336"/>
        <item x="222"/>
        <item x="354"/>
        <item x="373"/>
        <item x="360"/>
        <item x="338"/>
        <item x="292"/>
        <item x="253"/>
        <item x="311"/>
        <item x="371"/>
        <item x="205"/>
        <item x="56"/>
        <item x="102"/>
        <item x="128"/>
        <item x="66"/>
        <item x="421"/>
        <item x="419"/>
        <item x="280"/>
        <item x="355"/>
        <item x="433"/>
        <item x="122"/>
        <item x="270"/>
        <item x="237"/>
        <item x="262"/>
        <item x="212"/>
        <item x="229"/>
        <item x="22"/>
        <item x="171"/>
        <item x="90"/>
        <item x="10"/>
        <item x="279"/>
        <item x="456"/>
        <item x="78"/>
        <item x="132"/>
        <item x="449"/>
        <item x="342"/>
        <item x="204"/>
        <item x="381"/>
        <item x="470"/>
        <item x="121"/>
        <item x="477"/>
        <item x="136"/>
        <item x="131"/>
        <item x="255"/>
        <item x="290"/>
        <item x="19"/>
        <item x="348"/>
        <item x="6"/>
        <item x="109"/>
        <item x="313"/>
        <item x="203"/>
        <item x="402"/>
        <item x="26"/>
        <item x="474"/>
        <item x="89"/>
        <item x="298"/>
        <item x="289"/>
        <item x="356"/>
        <item x="332"/>
        <item x="123"/>
        <item x="303"/>
        <item x="239"/>
        <item x="216"/>
        <item x="453"/>
        <item x="277"/>
        <item x="326"/>
        <item x="440"/>
        <item x="180"/>
        <item x="401"/>
        <item x="38"/>
        <item x="119"/>
        <item x="382"/>
        <item x="215"/>
        <item x="329"/>
        <item x="352"/>
        <item x="240"/>
        <item x="259"/>
        <item x="343"/>
        <item x="411"/>
        <item x="480"/>
        <item x="487"/>
        <item x="69"/>
        <item x="33"/>
        <item x="268"/>
        <item x="276"/>
        <item x="195"/>
        <item x="345"/>
        <item x="188"/>
        <item x="193"/>
        <item x="181"/>
        <item x="65"/>
        <item x="316"/>
        <item x="9"/>
        <item x="208"/>
        <item x="291"/>
        <item x="184"/>
        <item x="442"/>
        <item x="349"/>
        <item x="370"/>
        <item x="422"/>
        <item x="423"/>
        <item x="445"/>
        <item x="198"/>
        <item x="211"/>
        <item x="318"/>
        <item x="282"/>
        <item x="113"/>
        <item x="331"/>
        <item x="391"/>
        <item x="44"/>
        <item x="182"/>
        <item x="479"/>
        <item x="443"/>
        <item x="77"/>
        <item x="379"/>
        <item x="31"/>
        <item x="264"/>
        <item x="398"/>
        <item x="491"/>
        <item x="325"/>
        <item x="50"/>
        <item x="76"/>
        <item x="452"/>
        <item x="498"/>
        <item x="428"/>
        <item x="158"/>
        <item x="39"/>
        <item x="97"/>
        <item x="368"/>
        <item x="304"/>
        <item x="441"/>
        <item x="103"/>
        <item x="94"/>
        <item x="254"/>
        <item x="363"/>
        <item x="386"/>
        <item x="301"/>
        <item x="469"/>
        <item x="457"/>
        <item x="232"/>
        <item x="380"/>
        <item x="315"/>
        <item x="333"/>
        <item x="47"/>
        <item x="96"/>
        <item x="79"/>
        <item x="486"/>
        <item x="367"/>
        <item x="339"/>
        <item x="21"/>
        <item x="460"/>
        <item x="14"/>
        <item x="176"/>
        <item x="295"/>
        <item x="425"/>
        <item x="160"/>
        <item x="269"/>
        <item x="462"/>
        <item x="438"/>
        <item x="273"/>
        <item x="100"/>
        <item x="337"/>
        <item x="226"/>
        <item x="454"/>
        <item x="61"/>
        <item x="231"/>
        <item x="413"/>
        <item x="80"/>
        <item x="286"/>
        <item x="225"/>
        <item x="28"/>
        <item x="30"/>
        <item x="475"/>
        <item x="266"/>
        <item x="327"/>
        <item x="299"/>
        <item x="147"/>
        <item x="36"/>
        <item x="431"/>
        <item x="34"/>
        <item x="151"/>
        <item x="467"/>
        <item x="235"/>
        <item x="227"/>
        <item x="455"/>
        <item x="112"/>
        <item x="19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2">
    <i>
      <x v="7"/>
    </i>
    <i>
      <x v="6"/>
    </i>
    <i>
      <x v="2"/>
    </i>
    <i>
      <x v="3"/>
    </i>
    <i>
      <x/>
    </i>
    <i>
      <x v="4"/>
    </i>
    <i>
      <x v="5"/>
    </i>
    <i>
      <x v="1"/>
    </i>
    <i>
      <x v="9"/>
    </i>
    <i>
      <x v="8"/>
    </i>
    <i>
      <x v="10"/>
    </i>
    <i t="grand">
      <x/>
    </i>
  </rowItems>
  <colFields count="1">
    <field x="-2"/>
  </colFields>
  <colItems count="3">
    <i>
      <x/>
    </i>
    <i i="1">
      <x v="1"/>
    </i>
    <i i="2">
      <x v="2"/>
    </i>
  </colItems>
  <dataFields count="3">
    <dataField name="Avg Revenue" fld="10" subtotal="average" baseField="3" baseItem="0" numFmtId="43"/>
    <dataField name="Count of Order_ID" fld="0" subtotal="count" baseField="3" baseItem="0"/>
    <dataField name="Total Revenue" fld="10" baseField="0" baseItem="0" numFmtId="43"/>
  </dataFields>
  <formats count="3">
    <format dxfId="8">
      <pivotArea outline="0" collapsedLevelsAreSubtotals="1" fieldPosition="0">
        <references count="1">
          <reference field="4294967294" count="1" selected="0">
            <x v="2"/>
          </reference>
        </references>
      </pivotArea>
    </format>
    <format dxfId="7">
      <pivotArea collapsedLevelsAreSubtotals="1" fieldPosition="0">
        <references count="2">
          <reference field="4294967294" count="1" selected="0">
            <x v="0"/>
          </reference>
          <reference field="3" count="1">
            <x v="0"/>
          </reference>
        </references>
      </pivotArea>
    </format>
    <format dxfId="6">
      <pivotArea outline="0" collapsedLevelsAreSubtotals="1" fieldPosition="0">
        <references count="1">
          <reference field="4294967294" count="1" selected="0">
            <x v="0"/>
          </reference>
        </references>
      </pivotArea>
    </format>
  </formats>
  <chartFormats count="3">
    <chartFormat chart="28" format="6"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1"/>
          </reference>
        </references>
      </pivotArea>
    </chartFormat>
    <chartFormat chart="2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79FB14-3A36-4F4D-BE0A-7DFD706049C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s">
  <location ref="A16:B22" firstHeaderRow="1" firstDataRow="1" firstDataCol="1"/>
  <pivotFields count="14">
    <pivotField showAll="0"/>
    <pivotField numFmtId="14" showAll="0">
      <items count="275">
        <item x="47"/>
        <item x="65"/>
        <item x="12"/>
        <item x="138"/>
        <item x="46"/>
        <item x="125"/>
        <item x="8"/>
        <item x="207"/>
        <item x="90"/>
        <item x="264"/>
        <item x="120"/>
        <item x="170"/>
        <item x="108"/>
        <item x="112"/>
        <item x="202"/>
        <item x="204"/>
        <item x="179"/>
        <item x="167"/>
        <item x="67"/>
        <item x="238"/>
        <item x="156"/>
        <item x="82"/>
        <item x="161"/>
        <item x="203"/>
        <item x="80"/>
        <item x="251"/>
        <item x="119"/>
        <item x="248"/>
        <item x="34"/>
        <item x="95"/>
        <item x="58"/>
        <item x="24"/>
        <item x="122"/>
        <item x="173"/>
        <item x="144"/>
        <item x="206"/>
        <item x="153"/>
        <item x="103"/>
        <item x="182"/>
        <item x="52"/>
        <item x="49"/>
        <item x="141"/>
        <item x="20"/>
        <item x="246"/>
        <item x="268"/>
        <item x="60"/>
        <item x="233"/>
        <item x="186"/>
        <item x="154"/>
        <item x="63"/>
        <item x="66"/>
        <item x="143"/>
        <item x="32"/>
        <item x="7"/>
        <item x="263"/>
        <item x="239"/>
        <item x="21"/>
        <item x="271"/>
        <item x="93"/>
        <item x="256"/>
        <item x="133"/>
        <item x="61"/>
        <item x="235"/>
        <item x="68"/>
        <item x="155"/>
        <item x="209"/>
        <item x="89"/>
        <item x="253"/>
        <item x="247"/>
        <item x="41"/>
        <item x="159"/>
        <item x="200"/>
        <item x="259"/>
        <item x="117"/>
        <item x="150"/>
        <item x="197"/>
        <item x="199"/>
        <item x="135"/>
        <item x="79"/>
        <item x="97"/>
        <item x="175"/>
        <item x="255"/>
        <item x="216"/>
        <item x="109"/>
        <item x="72"/>
        <item x="272"/>
        <item x="222"/>
        <item x="39"/>
        <item x="50"/>
        <item x="19"/>
        <item x="43"/>
        <item x="172"/>
        <item x="107"/>
        <item x="229"/>
        <item x="190"/>
        <item x="118"/>
        <item x="181"/>
        <item x="104"/>
        <item x="3"/>
        <item x="180"/>
        <item x="226"/>
        <item x="230"/>
        <item x="55"/>
        <item x="165"/>
        <item x="232"/>
        <item x="83"/>
        <item x="188"/>
        <item x="126"/>
        <item x="54"/>
        <item x="128"/>
        <item x="110"/>
        <item x="157"/>
        <item x="36"/>
        <item x="136"/>
        <item x="234"/>
        <item x="183"/>
        <item x="22"/>
        <item x="129"/>
        <item x="185"/>
        <item x="236"/>
        <item x="174"/>
        <item x="139"/>
        <item x="176"/>
        <item x="214"/>
        <item x="88"/>
        <item x="273"/>
        <item x="258"/>
        <item x="252"/>
        <item x="37"/>
        <item x="59"/>
        <item x="145"/>
        <item x="44"/>
        <item x="269"/>
        <item x="142"/>
        <item x="149"/>
        <item x="262"/>
        <item x="77"/>
        <item x="208"/>
        <item x="227"/>
        <item x="6"/>
        <item x="151"/>
        <item x="189"/>
        <item x="18"/>
        <item x="74"/>
        <item x="130"/>
        <item x="177"/>
        <item x="11"/>
        <item x="160"/>
        <item x="16"/>
        <item x="217"/>
        <item x="45"/>
        <item x="99"/>
        <item x="244"/>
        <item x="257"/>
        <item x="71"/>
        <item x="191"/>
        <item x="30"/>
        <item x="158"/>
        <item x="152"/>
        <item x="4"/>
        <item x="187"/>
        <item x="169"/>
        <item x="184"/>
        <item x="28"/>
        <item x="92"/>
        <item x="53"/>
        <item x="195"/>
        <item x="31"/>
        <item x="69"/>
        <item x="148"/>
        <item x="25"/>
        <item x="70"/>
        <item x="96"/>
        <item x="10"/>
        <item x="219"/>
        <item x="124"/>
        <item x="116"/>
        <item x="164"/>
        <item x="40"/>
        <item x="237"/>
        <item x="2"/>
        <item x="171"/>
        <item x="14"/>
        <item x="261"/>
        <item x="228"/>
        <item x="266"/>
        <item x="94"/>
        <item x="1"/>
        <item x="224"/>
        <item x="15"/>
        <item x="78"/>
        <item x="26"/>
        <item x="91"/>
        <item x="218"/>
        <item x="51"/>
        <item x="198"/>
        <item x="267"/>
        <item x="98"/>
        <item x="64"/>
        <item x="223"/>
        <item x="250"/>
        <item x="166"/>
        <item x="137"/>
        <item x="123"/>
        <item x="9"/>
        <item x="111"/>
        <item x="76"/>
        <item x="105"/>
        <item x="196"/>
        <item x="81"/>
        <item x="163"/>
        <item x="221"/>
        <item x="231"/>
        <item x="23"/>
        <item x="35"/>
        <item x="220"/>
        <item x="29"/>
        <item x="42"/>
        <item x="75"/>
        <item x="127"/>
        <item x="245"/>
        <item x="101"/>
        <item x="194"/>
        <item x="212"/>
        <item x="85"/>
        <item x="241"/>
        <item x="210"/>
        <item x="86"/>
        <item x="225"/>
        <item x="211"/>
        <item x="33"/>
        <item x="168"/>
        <item x="254"/>
        <item x="205"/>
        <item x="146"/>
        <item x="242"/>
        <item x="134"/>
        <item x="5"/>
        <item x="121"/>
        <item x="102"/>
        <item x="193"/>
        <item x="270"/>
        <item x="192"/>
        <item x="140"/>
        <item x="113"/>
        <item x="162"/>
        <item x="114"/>
        <item x="115"/>
        <item x="213"/>
        <item x="201"/>
        <item x="243"/>
        <item x="131"/>
        <item x="0"/>
        <item x="260"/>
        <item x="240"/>
        <item x="147"/>
        <item x="57"/>
        <item x="265"/>
        <item x="73"/>
        <item x="17"/>
        <item x="13"/>
        <item x="249"/>
        <item x="106"/>
        <item x="48"/>
        <item x="215"/>
        <item x="56"/>
        <item x="27"/>
        <item x="100"/>
        <item x="132"/>
        <item x="84"/>
        <item x="87"/>
        <item x="38"/>
        <item x="62"/>
        <item x="178"/>
        <item t="default"/>
      </items>
    </pivotField>
    <pivotField showAll="0"/>
    <pivotField showAll="0">
      <items count="12">
        <item h="1" x="4"/>
        <item h="1" x="1"/>
        <item h="1" x="2"/>
        <item h="1" x="5"/>
        <item x="10"/>
        <item h="1" x="3"/>
        <item h="1" x="6"/>
        <item h="1" x="9"/>
        <item h="1" x="8"/>
        <item h="1" x="7"/>
        <item h="1" x="0"/>
        <item t="default"/>
      </items>
    </pivotField>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showAll="0">
      <items count="9">
        <item x="4"/>
        <item x="2"/>
        <item x="1"/>
        <item x="7"/>
        <item x="5"/>
        <item x="3"/>
        <item x="6"/>
        <item x="0"/>
        <item t="default"/>
      </items>
    </pivotField>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v="1"/>
    </i>
    <i>
      <x/>
    </i>
    <i>
      <x v="2"/>
    </i>
    <i>
      <x v="4"/>
    </i>
    <i>
      <x v="3"/>
    </i>
    <i t="grand">
      <x/>
    </i>
  </rowItems>
  <colItems count="1">
    <i/>
  </colItems>
  <dataFields count="1">
    <dataField name="Total Revenue" fld="10" baseField="0" baseItem="0"/>
  </dataFields>
  <formats count="1">
    <format dxfId="9">
      <pivotArea collapsedLevelsAreSubtotals="1" fieldPosition="0">
        <references count="1">
          <reference field="4" count="0"/>
        </references>
      </pivotArea>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744CF7-1B49-4901-9DCF-6B8BFB82ED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s">
  <location ref="A3:B12" firstHeaderRow="1" firstDataRow="1" firstDataCol="1"/>
  <pivotFields count="14">
    <pivotField showAll="0"/>
    <pivotField numFmtId="14" showAll="0">
      <items count="275">
        <item x="47"/>
        <item x="65"/>
        <item x="12"/>
        <item x="138"/>
        <item x="46"/>
        <item x="125"/>
        <item x="8"/>
        <item x="207"/>
        <item x="90"/>
        <item x="264"/>
        <item x="120"/>
        <item x="170"/>
        <item x="108"/>
        <item x="112"/>
        <item x="202"/>
        <item x="204"/>
        <item x="179"/>
        <item x="167"/>
        <item x="67"/>
        <item x="238"/>
        <item x="156"/>
        <item x="82"/>
        <item x="161"/>
        <item x="203"/>
        <item x="80"/>
        <item x="251"/>
        <item x="119"/>
        <item x="248"/>
        <item x="34"/>
        <item x="95"/>
        <item x="58"/>
        <item x="24"/>
        <item x="122"/>
        <item x="173"/>
        <item x="144"/>
        <item x="206"/>
        <item x="153"/>
        <item x="103"/>
        <item x="182"/>
        <item x="52"/>
        <item x="49"/>
        <item x="141"/>
        <item x="20"/>
        <item x="246"/>
        <item x="268"/>
        <item x="60"/>
        <item x="233"/>
        <item x="186"/>
        <item x="154"/>
        <item x="63"/>
        <item x="66"/>
        <item x="143"/>
        <item x="32"/>
        <item x="7"/>
        <item x="263"/>
        <item x="239"/>
        <item x="21"/>
        <item x="271"/>
        <item x="93"/>
        <item x="256"/>
        <item x="133"/>
        <item x="61"/>
        <item x="235"/>
        <item x="68"/>
        <item x="155"/>
        <item x="209"/>
        <item x="89"/>
        <item x="253"/>
        <item x="247"/>
        <item x="41"/>
        <item x="159"/>
        <item x="200"/>
        <item x="259"/>
        <item x="117"/>
        <item x="150"/>
        <item x="197"/>
        <item x="199"/>
        <item x="135"/>
        <item x="79"/>
        <item x="97"/>
        <item x="175"/>
        <item x="255"/>
        <item x="216"/>
        <item x="109"/>
        <item x="72"/>
        <item x="272"/>
        <item x="222"/>
        <item x="39"/>
        <item x="50"/>
        <item x="19"/>
        <item x="43"/>
        <item x="172"/>
        <item x="107"/>
        <item x="229"/>
        <item x="190"/>
        <item x="118"/>
        <item x="181"/>
        <item x="104"/>
        <item x="3"/>
        <item x="180"/>
        <item x="226"/>
        <item x="230"/>
        <item x="55"/>
        <item x="165"/>
        <item x="232"/>
        <item x="83"/>
        <item x="188"/>
        <item x="126"/>
        <item x="54"/>
        <item x="128"/>
        <item x="110"/>
        <item x="157"/>
        <item x="36"/>
        <item x="136"/>
        <item x="234"/>
        <item x="183"/>
        <item x="22"/>
        <item x="129"/>
        <item x="185"/>
        <item x="236"/>
        <item x="174"/>
        <item x="139"/>
        <item x="176"/>
        <item x="214"/>
        <item x="88"/>
        <item x="273"/>
        <item x="258"/>
        <item x="252"/>
        <item x="37"/>
        <item x="59"/>
        <item x="145"/>
        <item x="44"/>
        <item x="269"/>
        <item x="142"/>
        <item x="149"/>
        <item x="262"/>
        <item x="77"/>
        <item x="208"/>
        <item x="227"/>
        <item x="6"/>
        <item x="151"/>
        <item x="189"/>
        <item x="18"/>
        <item x="74"/>
        <item x="130"/>
        <item x="177"/>
        <item x="11"/>
        <item x="160"/>
        <item x="16"/>
        <item x="217"/>
        <item x="45"/>
        <item x="99"/>
        <item x="244"/>
        <item x="257"/>
        <item x="71"/>
        <item x="191"/>
        <item x="30"/>
        <item x="158"/>
        <item x="152"/>
        <item x="4"/>
        <item x="187"/>
        <item x="169"/>
        <item x="184"/>
        <item x="28"/>
        <item x="92"/>
        <item x="53"/>
        <item x="195"/>
        <item x="31"/>
        <item x="69"/>
        <item x="148"/>
        <item x="25"/>
        <item x="70"/>
        <item x="96"/>
        <item x="10"/>
        <item x="219"/>
        <item x="124"/>
        <item x="116"/>
        <item x="164"/>
        <item x="40"/>
        <item x="237"/>
        <item x="2"/>
        <item x="171"/>
        <item x="14"/>
        <item x="261"/>
        <item x="228"/>
        <item x="266"/>
        <item x="94"/>
        <item x="1"/>
        <item x="224"/>
        <item x="15"/>
        <item x="78"/>
        <item x="26"/>
        <item x="91"/>
        <item x="218"/>
        <item x="51"/>
        <item x="198"/>
        <item x="267"/>
        <item x="98"/>
        <item x="64"/>
        <item x="223"/>
        <item x="250"/>
        <item x="166"/>
        <item x="137"/>
        <item x="123"/>
        <item x="9"/>
        <item x="111"/>
        <item x="76"/>
        <item x="105"/>
        <item x="196"/>
        <item x="81"/>
        <item x="163"/>
        <item x="221"/>
        <item x="231"/>
        <item x="23"/>
        <item x="35"/>
        <item x="220"/>
        <item x="29"/>
        <item x="42"/>
        <item x="75"/>
        <item x="127"/>
        <item x="245"/>
        <item x="101"/>
        <item x="194"/>
        <item x="212"/>
        <item x="85"/>
        <item x="241"/>
        <item x="210"/>
        <item x="86"/>
        <item x="225"/>
        <item x="211"/>
        <item x="33"/>
        <item x="168"/>
        <item x="254"/>
        <item x="205"/>
        <item x="146"/>
        <item x="242"/>
        <item x="134"/>
        <item x="5"/>
        <item x="121"/>
        <item x="102"/>
        <item x="193"/>
        <item x="270"/>
        <item x="192"/>
        <item x="140"/>
        <item x="113"/>
        <item x="162"/>
        <item x="114"/>
        <item x="115"/>
        <item x="213"/>
        <item x="201"/>
        <item x="243"/>
        <item x="131"/>
        <item x="0"/>
        <item x="260"/>
        <item x="240"/>
        <item x="147"/>
        <item x="57"/>
        <item x="265"/>
        <item x="73"/>
        <item x="17"/>
        <item x="13"/>
        <item x="249"/>
        <item x="106"/>
        <item x="48"/>
        <item x="215"/>
        <item x="56"/>
        <item x="27"/>
        <item x="100"/>
        <item x="132"/>
        <item x="84"/>
        <item x="87"/>
        <item x="38"/>
        <item x="62"/>
        <item x="178"/>
        <item t="default"/>
      </items>
    </pivotField>
    <pivotField showAll="0"/>
    <pivotField showAll="0">
      <items count="12">
        <item h="1" x="4"/>
        <item h="1" x="1"/>
        <item h="1" x="2"/>
        <item h="1" x="5"/>
        <item x="10"/>
        <item h="1" x="3"/>
        <item h="1" x="6"/>
        <item h="1" x="9"/>
        <item h="1" x="8"/>
        <item h="1" x="7"/>
        <item h="1" x="0"/>
        <item t="default"/>
      </items>
    </pivotField>
    <pivotField showAll="0"/>
    <pivotField axis="axisRow" showAll="0" sortType="ascending">
      <items count="9">
        <item x="4"/>
        <item x="2"/>
        <item x="1"/>
        <item x="7"/>
        <item x="5"/>
        <item x="3"/>
        <item x="6"/>
        <item x="0"/>
        <item t="default"/>
      </items>
    </pivotField>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9">
    <i>
      <x/>
    </i>
    <i>
      <x v="1"/>
    </i>
    <i>
      <x v="2"/>
    </i>
    <i>
      <x v="3"/>
    </i>
    <i>
      <x v="4"/>
    </i>
    <i>
      <x v="5"/>
    </i>
    <i>
      <x v="6"/>
    </i>
    <i>
      <x v="7"/>
    </i>
    <i t="grand">
      <x/>
    </i>
  </rowItems>
  <colItems count="1">
    <i/>
  </colItems>
  <dataFields count="1">
    <dataField name="Total  Revenue" fld="10" baseField="5" baseItem="0" numFmtId="43"/>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227676-52E6-47CD-AFFC-D4EEA087EA8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s ">
  <location ref="A35:B48" firstHeaderRow="1" firstDataRow="1" firstDataCol="1"/>
  <pivotFields count="14">
    <pivotField showAll="0"/>
    <pivotField axis="axisRow" numFmtId="14" showAll="0">
      <items count="275">
        <item x="47"/>
        <item x="65"/>
        <item x="12"/>
        <item x="138"/>
        <item x="46"/>
        <item x="125"/>
        <item x="8"/>
        <item x="207"/>
        <item x="90"/>
        <item x="264"/>
        <item x="120"/>
        <item x="170"/>
        <item x="108"/>
        <item x="112"/>
        <item x="202"/>
        <item x="204"/>
        <item x="179"/>
        <item x="167"/>
        <item x="67"/>
        <item x="238"/>
        <item x="156"/>
        <item x="82"/>
        <item x="161"/>
        <item x="203"/>
        <item x="80"/>
        <item x="251"/>
        <item x="119"/>
        <item x="248"/>
        <item x="34"/>
        <item x="95"/>
        <item x="58"/>
        <item x="24"/>
        <item x="122"/>
        <item x="173"/>
        <item x="144"/>
        <item x="206"/>
        <item x="153"/>
        <item x="103"/>
        <item x="182"/>
        <item x="52"/>
        <item x="49"/>
        <item x="141"/>
        <item x="20"/>
        <item x="246"/>
        <item x="268"/>
        <item x="60"/>
        <item x="233"/>
        <item x="186"/>
        <item x="154"/>
        <item x="63"/>
        <item x="66"/>
        <item x="143"/>
        <item x="32"/>
        <item x="7"/>
        <item x="263"/>
        <item x="239"/>
        <item x="21"/>
        <item x="271"/>
        <item x="93"/>
        <item x="256"/>
        <item x="133"/>
        <item x="61"/>
        <item x="235"/>
        <item x="68"/>
        <item x="155"/>
        <item x="209"/>
        <item x="89"/>
        <item x="253"/>
        <item x="247"/>
        <item x="41"/>
        <item x="159"/>
        <item x="200"/>
        <item x="259"/>
        <item x="117"/>
        <item x="150"/>
        <item x="197"/>
        <item x="199"/>
        <item x="135"/>
        <item x="79"/>
        <item x="97"/>
        <item x="175"/>
        <item x="255"/>
        <item x="216"/>
        <item x="109"/>
        <item x="72"/>
        <item x="272"/>
        <item x="222"/>
        <item x="39"/>
        <item x="50"/>
        <item x="19"/>
        <item x="43"/>
        <item x="172"/>
        <item x="107"/>
        <item x="229"/>
        <item x="190"/>
        <item x="118"/>
        <item x="181"/>
        <item x="104"/>
        <item x="3"/>
        <item x="180"/>
        <item x="226"/>
        <item x="230"/>
        <item x="55"/>
        <item x="165"/>
        <item x="232"/>
        <item x="83"/>
        <item x="188"/>
        <item x="126"/>
        <item x="54"/>
        <item x="128"/>
        <item x="110"/>
        <item x="157"/>
        <item x="36"/>
        <item x="136"/>
        <item x="234"/>
        <item x="183"/>
        <item x="22"/>
        <item x="129"/>
        <item x="185"/>
        <item x="236"/>
        <item x="174"/>
        <item x="139"/>
        <item x="176"/>
        <item x="214"/>
        <item x="88"/>
        <item x="273"/>
        <item x="258"/>
        <item x="252"/>
        <item x="37"/>
        <item x="59"/>
        <item x="145"/>
        <item x="44"/>
        <item x="269"/>
        <item x="142"/>
        <item x="149"/>
        <item x="262"/>
        <item x="77"/>
        <item x="208"/>
        <item x="227"/>
        <item x="6"/>
        <item x="151"/>
        <item x="189"/>
        <item x="18"/>
        <item x="74"/>
        <item x="130"/>
        <item x="177"/>
        <item x="11"/>
        <item x="160"/>
        <item x="16"/>
        <item x="217"/>
        <item x="45"/>
        <item x="99"/>
        <item x="244"/>
        <item x="257"/>
        <item x="71"/>
        <item x="191"/>
        <item x="30"/>
        <item x="158"/>
        <item x="152"/>
        <item x="4"/>
        <item x="187"/>
        <item x="169"/>
        <item x="184"/>
        <item x="28"/>
        <item x="92"/>
        <item x="53"/>
        <item x="195"/>
        <item x="31"/>
        <item x="69"/>
        <item x="148"/>
        <item x="25"/>
        <item x="70"/>
        <item x="96"/>
        <item x="10"/>
        <item x="219"/>
        <item x="124"/>
        <item x="116"/>
        <item x="164"/>
        <item x="40"/>
        <item x="237"/>
        <item x="2"/>
        <item x="171"/>
        <item x="14"/>
        <item x="261"/>
        <item x="228"/>
        <item x="266"/>
        <item x="94"/>
        <item x="1"/>
        <item x="224"/>
        <item x="15"/>
        <item x="78"/>
        <item x="26"/>
        <item x="91"/>
        <item x="218"/>
        <item x="51"/>
        <item x="198"/>
        <item x="267"/>
        <item x="98"/>
        <item x="64"/>
        <item x="223"/>
        <item x="250"/>
        <item x="166"/>
        <item x="137"/>
        <item x="123"/>
        <item x="9"/>
        <item x="111"/>
        <item x="76"/>
        <item x="105"/>
        <item x="196"/>
        <item x="81"/>
        <item x="163"/>
        <item x="221"/>
        <item x="231"/>
        <item x="23"/>
        <item x="35"/>
        <item x="220"/>
        <item x="29"/>
        <item x="42"/>
        <item x="75"/>
        <item x="127"/>
        <item x="245"/>
        <item x="101"/>
        <item x="194"/>
        <item x="212"/>
        <item x="85"/>
        <item x="241"/>
        <item x="210"/>
        <item x="86"/>
        <item x="225"/>
        <item x="211"/>
        <item x="33"/>
        <item x="168"/>
        <item x="254"/>
        <item x="205"/>
        <item x="146"/>
        <item x="242"/>
        <item x="134"/>
        <item x="5"/>
        <item x="121"/>
        <item x="102"/>
        <item x="193"/>
        <item x="270"/>
        <item x="192"/>
        <item x="140"/>
        <item x="113"/>
        <item x="162"/>
        <item x="114"/>
        <item x="115"/>
        <item x="213"/>
        <item x="201"/>
        <item x="243"/>
        <item x="131"/>
        <item x="0"/>
        <item x="260"/>
        <item x="240"/>
        <item x="147"/>
        <item x="57"/>
        <item x="265"/>
        <item x="73"/>
        <item x="17"/>
        <item x="13"/>
        <item x="249"/>
        <item x="106"/>
        <item x="48"/>
        <item x="215"/>
        <item x="56"/>
        <item x="27"/>
        <item x="100"/>
        <item x="132"/>
        <item x="84"/>
        <item x="87"/>
        <item x="38"/>
        <item x="62"/>
        <item x="178"/>
        <item t="default"/>
      </items>
    </pivotField>
    <pivotField showAll="0"/>
    <pivotField showAll="0">
      <items count="12">
        <item h="1" x="4"/>
        <item h="1" x="1"/>
        <item h="1" x="2"/>
        <item h="1" x="5"/>
        <item x="10"/>
        <item h="1" x="3"/>
        <item h="1" x="6"/>
        <item h="1" x="9"/>
        <item h="1" x="8"/>
        <item h="1" x="7"/>
        <item h="1" x="0"/>
        <item t="default"/>
      </items>
    </pivotField>
    <pivotField showAll="0">
      <items count="6">
        <item x="1"/>
        <item x="3"/>
        <item x="4"/>
        <item x="0"/>
        <item x="2"/>
        <item t="default"/>
      </items>
    </pivotField>
    <pivotField showAll="0">
      <items count="9">
        <item x="4"/>
        <item x="2"/>
        <item x="1"/>
        <item x="7"/>
        <item x="5"/>
        <item x="3"/>
        <item x="6"/>
        <item x="0"/>
        <item t="default"/>
      </items>
    </pivotField>
    <pivotField showAll="0"/>
    <pivotField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1"/>
  </rowFields>
  <rowItems count="13">
    <i>
      <x v="1"/>
    </i>
    <i>
      <x v="2"/>
    </i>
    <i>
      <x v="3"/>
    </i>
    <i>
      <x v="4"/>
    </i>
    <i>
      <x v="5"/>
    </i>
    <i>
      <x v="6"/>
    </i>
    <i>
      <x v="7"/>
    </i>
    <i>
      <x v="8"/>
    </i>
    <i>
      <x v="9"/>
    </i>
    <i>
      <x v="10"/>
    </i>
    <i>
      <x v="11"/>
    </i>
    <i>
      <x v="12"/>
    </i>
    <i t="grand">
      <x/>
    </i>
  </rowItems>
  <colItems count="1">
    <i/>
  </colItems>
  <dataFields count="1">
    <dataField name="Total Revenue" fld="10" baseField="0" baseItem="0" numFmtId="43"/>
  </dataFields>
  <formats count="1">
    <format dxfId="1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135236-ED9A-4FAB-9255-24321C787CE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Discount_band">
  <location ref="H3:J8" firstHeaderRow="0" firstDataRow="1" firstDataCol="1"/>
  <pivotFields count="14">
    <pivotField showAll="0"/>
    <pivotField numFmtId="14" showAll="0">
      <items count="275">
        <item x="47"/>
        <item x="65"/>
        <item x="12"/>
        <item x="138"/>
        <item x="46"/>
        <item x="125"/>
        <item x="8"/>
        <item x="207"/>
        <item x="90"/>
        <item x="264"/>
        <item x="120"/>
        <item x="170"/>
        <item x="108"/>
        <item x="112"/>
        <item x="202"/>
        <item x="204"/>
        <item x="179"/>
        <item x="167"/>
        <item x="67"/>
        <item x="238"/>
        <item x="156"/>
        <item x="82"/>
        <item x="161"/>
        <item x="203"/>
        <item x="80"/>
        <item x="251"/>
        <item x="119"/>
        <item x="248"/>
        <item x="34"/>
        <item x="95"/>
        <item x="58"/>
        <item x="24"/>
        <item x="122"/>
        <item x="173"/>
        <item x="144"/>
        <item x="206"/>
        <item x="153"/>
        <item x="103"/>
        <item x="182"/>
        <item x="52"/>
        <item x="49"/>
        <item x="141"/>
        <item x="20"/>
        <item x="246"/>
        <item x="268"/>
        <item x="60"/>
        <item x="233"/>
        <item x="186"/>
        <item x="154"/>
        <item x="63"/>
        <item x="66"/>
        <item x="143"/>
        <item x="32"/>
        <item x="7"/>
        <item x="263"/>
        <item x="239"/>
        <item x="21"/>
        <item x="271"/>
        <item x="93"/>
        <item x="256"/>
        <item x="133"/>
        <item x="61"/>
        <item x="235"/>
        <item x="68"/>
        <item x="155"/>
        <item x="209"/>
        <item x="89"/>
        <item x="253"/>
        <item x="247"/>
        <item x="41"/>
        <item x="159"/>
        <item x="200"/>
        <item x="259"/>
        <item x="117"/>
        <item x="150"/>
        <item x="197"/>
        <item x="199"/>
        <item x="135"/>
        <item x="79"/>
        <item x="97"/>
        <item x="175"/>
        <item x="255"/>
        <item x="216"/>
        <item x="109"/>
        <item x="72"/>
        <item x="272"/>
        <item x="222"/>
        <item x="39"/>
        <item x="50"/>
        <item x="19"/>
        <item x="43"/>
        <item x="172"/>
        <item x="107"/>
        <item x="229"/>
        <item x="190"/>
        <item x="118"/>
        <item x="181"/>
        <item x="104"/>
        <item x="3"/>
        <item x="180"/>
        <item x="226"/>
        <item x="230"/>
        <item x="55"/>
        <item x="165"/>
        <item x="232"/>
        <item x="83"/>
        <item x="188"/>
        <item x="126"/>
        <item x="54"/>
        <item x="128"/>
        <item x="110"/>
        <item x="157"/>
        <item x="36"/>
        <item x="136"/>
        <item x="234"/>
        <item x="183"/>
        <item x="22"/>
        <item x="129"/>
        <item x="185"/>
        <item x="236"/>
        <item x="174"/>
        <item x="139"/>
        <item x="176"/>
        <item x="214"/>
        <item x="88"/>
        <item x="273"/>
        <item x="258"/>
        <item x="252"/>
        <item x="37"/>
        <item x="59"/>
        <item x="145"/>
        <item x="44"/>
        <item x="269"/>
        <item x="142"/>
        <item x="149"/>
        <item x="262"/>
        <item x="77"/>
        <item x="208"/>
        <item x="227"/>
        <item x="6"/>
        <item x="151"/>
        <item x="189"/>
        <item x="18"/>
        <item x="74"/>
        <item x="130"/>
        <item x="177"/>
        <item x="11"/>
        <item x="160"/>
        <item x="16"/>
        <item x="217"/>
        <item x="45"/>
        <item x="99"/>
        <item x="244"/>
        <item x="257"/>
        <item x="71"/>
        <item x="191"/>
        <item x="30"/>
        <item x="158"/>
        <item x="152"/>
        <item x="4"/>
        <item x="187"/>
        <item x="169"/>
        <item x="184"/>
        <item x="28"/>
        <item x="92"/>
        <item x="53"/>
        <item x="195"/>
        <item x="31"/>
        <item x="69"/>
        <item x="148"/>
        <item x="25"/>
        <item x="70"/>
        <item x="96"/>
        <item x="10"/>
        <item x="219"/>
        <item x="124"/>
        <item x="116"/>
        <item x="164"/>
        <item x="40"/>
        <item x="237"/>
        <item x="2"/>
        <item x="171"/>
        <item x="14"/>
        <item x="261"/>
        <item x="228"/>
        <item x="266"/>
        <item x="94"/>
        <item x="1"/>
        <item x="224"/>
        <item x="15"/>
        <item x="78"/>
        <item x="26"/>
        <item x="91"/>
        <item x="218"/>
        <item x="51"/>
        <item x="198"/>
        <item x="267"/>
        <item x="98"/>
        <item x="64"/>
        <item x="223"/>
        <item x="250"/>
        <item x="166"/>
        <item x="137"/>
        <item x="123"/>
        <item x="9"/>
        <item x="111"/>
        <item x="76"/>
        <item x="105"/>
        <item x="196"/>
        <item x="81"/>
        <item x="163"/>
        <item x="221"/>
        <item x="231"/>
        <item x="23"/>
        <item x="35"/>
        <item x="220"/>
        <item x="29"/>
        <item x="42"/>
        <item x="75"/>
        <item x="127"/>
        <item x="245"/>
        <item x="101"/>
        <item x="194"/>
        <item x="212"/>
        <item x="85"/>
        <item x="241"/>
        <item x="210"/>
        <item x="86"/>
        <item x="225"/>
        <item x="211"/>
        <item x="33"/>
        <item x="168"/>
        <item x="254"/>
        <item x="205"/>
        <item x="146"/>
        <item x="242"/>
        <item x="134"/>
        <item x="5"/>
        <item x="121"/>
        <item x="102"/>
        <item x="193"/>
        <item x="270"/>
        <item x="192"/>
        <item x="140"/>
        <item x="113"/>
        <item x="162"/>
        <item x="114"/>
        <item x="115"/>
        <item x="213"/>
        <item x="201"/>
        <item x="243"/>
        <item x="131"/>
        <item x="0"/>
        <item x="260"/>
        <item x="240"/>
        <item x="147"/>
        <item x="57"/>
        <item x="265"/>
        <item x="73"/>
        <item x="17"/>
        <item x="13"/>
        <item x="249"/>
        <item x="106"/>
        <item x="48"/>
        <item x="215"/>
        <item x="56"/>
        <item x="27"/>
        <item x="100"/>
        <item x="132"/>
        <item x="84"/>
        <item x="87"/>
        <item x="38"/>
        <item x="62"/>
        <item x="178"/>
        <item t="default"/>
      </items>
    </pivotField>
    <pivotField showAll="0"/>
    <pivotField showAll="0">
      <items count="12">
        <item h="1" x="4"/>
        <item h="1" x="1"/>
        <item h="1" x="2"/>
        <item h="1" x="5"/>
        <item x="10"/>
        <item h="1" x="3"/>
        <item h="1" x="6"/>
        <item h="1" x="9"/>
        <item h="1" x="8"/>
        <item h="1" x="7"/>
        <item h="1" x="0"/>
        <item t="default"/>
      </items>
    </pivotField>
    <pivotField showAll="0"/>
    <pivotField showAll="0">
      <items count="9">
        <item x="4"/>
        <item x="2"/>
        <item x="1"/>
        <item x="7"/>
        <item x="5"/>
        <item x="3"/>
        <item x="6"/>
        <item x="0"/>
        <item t="default"/>
      </items>
    </pivotField>
    <pivotField showAll="0"/>
    <pivotField showAll="0"/>
    <pivotField showAll="0"/>
    <pivotField showAll="0">
      <items count="19">
        <item x="12"/>
        <item x="10"/>
        <item x="17"/>
        <item x="14"/>
        <item x="11"/>
        <item x="9"/>
        <item x="0"/>
        <item x="15"/>
        <item x="5"/>
        <item x="3"/>
        <item x="8"/>
        <item x="1"/>
        <item x="4"/>
        <item x="16"/>
        <item x="13"/>
        <item x="7"/>
        <item x="2"/>
        <item x="6"/>
        <item t="default"/>
      </items>
    </pivotField>
    <pivotField dataField="1" showAll="0">
      <items count="500">
        <item x="334"/>
        <item x="424"/>
        <item x="414"/>
        <item x="223"/>
        <item x="219"/>
        <item x="141"/>
        <item x="416"/>
        <item x="271"/>
        <item x="155"/>
        <item x="362"/>
        <item x="99"/>
        <item x="118"/>
        <item x="387"/>
        <item x="322"/>
        <item x="490"/>
        <item x="481"/>
        <item x="320"/>
        <item x="209"/>
        <item x="165"/>
        <item x="167"/>
        <item x="323"/>
        <item x="353"/>
        <item x="261"/>
        <item x="344"/>
        <item x="473"/>
        <item x="144"/>
        <item x="42"/>
        <item x="450"/>
        <item x="247"/>
        <item x="228"/>
        <item x="250"/>
        <item x="400"/>
        <item x="161"/>
        <item x="12"/>
        <item x="493"/>
        <item x="394"/>
        <item x="93"/>
        <item x="189"/>
        <item x="54"/>
        <item x="133"/>
        <item x="140"/>
        <item x="81"/>
        <item x="404"/>
        <item x="242"/>
        <item x="101"/>
        <item x="64"/>
        <item x="152"/>
        <item x="83"/>
        <item x="48"/>
        <item x="244"/>
        <item x="393"/>
        <item x="272"/>
        <item x="108"/>
        <item x="395"/>
        <item x="154"/>
        <item x="159"/>
        <item x="37"/>
        <item x="412"/>
        <item x="201"/>
        <item x="175"/>
        <item x="468"/>
        <item x="427"/>
        <item x="346"/>
        <item x="420"/>
        <item x="116"/>
        <item x="173"/>
        <item x="274"/>
        <item x="284"/>
        <item x="32"/>
        <item x="429"/>
        <item x="488"/>
        <item x="267"/>
        <item x="458"/>
        <item x="372"/>
        <item x="43"/>
        <item x="1"/>
        <item x="72"/>
        <item x="437"/>
        <item x="385"/>
        <item x="168"/>
        <item x="478"/>
        <item x="114"/>
        <item x="200"/>
        <item x="110"/>
        <item x="364"/>
        <item x="471"/>
        <item x="265"/>
        <item x="120"/>
        <item x="330"/>
        <item x="130"/>
        <item x="60"/>
        <item x="252"/>
        <item x="202"/>
        <item x="174"/>
        <item x="20"/>
        <item x="347"/>
        <item x="275"/>
        <item x="293"/>
        <item x="483"/>
        <item x="451"/>
        <item x="4"/>
        <item x="403"/>
        <item x="18"/>
        <item x="146"/>
        <item x="248"/>
        <item x="321"/>
        <item x="15"/>
        <item x="117"/>
        <item x="296"/>
        <item x="464"/>
        <item x="335"/>
        <item x="52"/>
        <item x="308"/>
        <item x="461"/>
        <item x="8"/>
        <item x="340"/>
        <item x="178"/>
        <item x="194"/>
        <item x="365"/>
        <item x="24"/>
        <item x="84"/>
        <item x="369"/>
        <item x="185"/>
        <item x="91"/>
        <item x="446"/>
        <item x="426"/>
        <item x="278"/>
        <item x="137"/>
        <item x="179"/>
        <item x="145"/>
        <item x="142"/>
        <item x="410"/>
        <item x="448"/>
        <item x="70"/>
        <item x="378"/>
        <item x="283"/>
        <item x="408"/>
        <item x="82"/>
        <item x="221"/>
        <item x="11"/>
        <item x="3"/>
        <item x="260"/>
        <item x="418"/>
        <item x="214"/>
        <item x="7"/>
        <item x="199"/>
        <item x="489"/>
        <item x="41"/>
        <item x="183"/>
        <item x="376"/>
        <item x="55"/>
        <item x="88"/>
        <item x="436"/>
        <item x="312"/>
        <item x="476"/>
        <item x="324"/>
        <item x="29"/>
        <item x="23"/>
        <item x="484"/>
        <item x="124"/>
        <item x="472"/>
        <item x="125"/>
        <item x="409"/>
        <item x="351"/>
        <item x="374"/>
        <item x="46"/>
        <item x="73"/>
        <item x="234"/>
        <item x="384"/>
        <item x="302"/>
        <item x="358"/>
        <item x="307"/>
        <item x="169"/>
        <item x="57"/>
        <item x="129"/>
        <item x="366"/>
        <item x="177"/>
        <item x="63"/>
        <item x="392"/>
        <item x="300"/>
        <item x="485"/>
        <item x="220"/>
        <item x="251"/>
        <item x="319"/>
        <item x="85"/>
        <item x="233"/>
        <item x="107"/>
        <item x="153"/>
        <item x="306"/>
        <item x="59"/>
        <item x="256"/>
        <item x="439"/>
        <item x="359"/>
        <item x="397"/>
        <item x="213"/>
        <item x="314"/>
        <item x="243"/>
        <item x="206"/>
        <item x="106"/>
        <item x="49"/>
        <item x="287"/>
        <item x="143"/>
        <item x="156"/>
        <item x="444"/>
        <item x="297"/>
        <item x="496"/>
        <item x="497"/>
        <item x="361"/>
        <item x="258"/>
        <item x="172"/>
        <item x="224"/>
        <item x="45"/>
        <item x="197"/>
        <item x="40"/>
        <item x="16"/>
        <item x="317"/>
        <item x="309"/>
        <item x="104"/>
        <item x="17"/>
        <item x="2"/>
        <item x="417"/>
        <item x="163"/>
        <item x="407"/>
        <item x="447"/>
        <item x="305"/>
        <item x="170"/>
        <item x="86"/>
        <item x="405"/>
        <item x="13"/>
        <item x="51"/>
        <item x="492"/>
        <item x="466"/>
        <item x="95"/>
        <item x="375"/>
        <item x="350"/>
        <item x="149"/>
        <item x="0"/>
        <item x="241"/>
        <item x="53"/>
        <item x="111"/>
        <item x="465"/>
        <item x="196"/>
        <item x="35"/>
        <item x="187"/>
        <item x="218"/>
        <item x="310"/>
        <item x="139"/>
        <item x="249"/>
        <item x="246"/>
        <item x="294"/>
        <item x="126"/>
        <item x="74"/>
        <item x="383"/>
        <item x="105"/>
        <item x="148"/>
        <item x="150"/>
        <item x="238"/>
        <item x="494"/>
        <item x="210"/>
        <item x="127"/>
        <item x="236"/>
        <item x="388"/>
        <item x="191"/>
        <item x="157"/>
        <item x="217"/>
        <item x="390"/>
        <item x="495"/>
        <item x="389"/>
        <item x="164"/>
        <item x="25"/>
        <item x="58"/>
        <item x="257"/>
        <item x="87"/>
        <item x="115"/>
        <item x="67"/>
        <item x="230"/>
        <item x="328"/>
        <item x="357"/>
        <item x="75"/>
        <item x="186"/>
        <item x="207"/>
        <item x="432"/>
        <item x="62"/>
        <item x="430"/>
        <item x="396"/>
        <item x="434"/>
        <item x="134"/>
        <item x="399"/>
        <item x="68"/>
        <item x="459"/>
        <item x="377"/>
        <item x="281"/>
        <item x="27"/>
        <item x="263"/>
        <item x="98"/>
        <item x="415"/>
        <item x="71"/>
        <item x="435"/>
        <item x="138"/>
        <item x="288"/>
        <item x="162"/>
        <item x="135"/>
        <item x="406"/>
        <item x="166"/>
        <item x="482"/>
        <item x="245"/>
        <item x="5"/>
        <item x="463"/>
        <item x="285"/>
        <item x="92"/>
        <item x="192"/>
        <item x="341"/>
        <item x="336"/>
        <item x="222"/>
        <item x="354"/>
        <item x="373"/>
        <item x="360"/>
        <item x="338"/>
        <item x="292"/>
        <item x="253"/>
        <item x="311"/>
        <item x="371"/>
        <item x="205"/>
        <item x="56"/>
        <item x="102"/>
        <item x="128"/>
        <item x="66"/>
        <item x="421"/>
        <item x="419"/>
        <item x="280"/>
        <item x="355"/>
        <item x="433"/>
        <item x="122"/>
        <item x="270"/>
        <item x="237"/>
        <item x="262"/>
        <item x="212"/>
        <item x="229"/>
        <item x="22"/>
        <item x="171"/>
        <item x="90"/>
        <item x="10"/>
        <item x="279"/>
        <item x="456"/>
        <item x="78"/>
        <item x="132"/>
        <item x="449"/>
        <item x="342"/>
        <item x="204"/>
        <item x="381"/>
        <item x="470"/>
        <item x="121"/>
        <item x="477"/>
        <item x="136"/>
        <item x="131"/>
        <item x="255"/>
        <item x="290"/>
        <item x="19"/>
        <item x="348"/>
        <item x="6"/>
        <item x="109"/>
        <item x="313"/>
        <item x="203"/>
        <item x="402"/>
        <item x="26"/>
        <item x="474"/>
        <item x="89"/>
        <item x="298"/>
        <item x="289"/>
        <item x="356"/>
        <item x="332"/>
        <item x="123"/>
        <item x="303"/>
        <item x="239"/>
        <item x="216"/>
        <item x="453"/>
        <item x="277"/>
        <item x="326"/>
        <item x="440"/>
        <item x="180"/>
        <item x="401"/>
        <item x="38"/>
        <item x="119"/>
        <item x="382"/>
        <item x="215"/>
        <item x="329"/>
        <item x="352"/>
        <item x="240"/>
        <item x="259"/>
        <item x="343"/>
        <item x="411"/>
        <item x="480"/>
        <item x="487"/>
        <item x="69"/>
        <item x="33"/>
        <item x="268"/>
        <item x="276"/>
        <item x="195"/>
        <item x="345"/>
        <item x="188"/>
        <item x="193"/>
        <item x="181"/>
        <item x="65"/>
        <item x="316"/>
        <item x="9"/>
        <item x="208"/>
        <item x="291"/>
        <item x="184"/>
        <item x="442"/>
        <item x="349"/>
        <item x="370"/>
        <item x="422"/>
        <item x="423"/>
        <item x="445"/>
        <item x="198"/>
        <item x="211"/>
        <item x="318"/>
        <item x="282"/>
        <item x="113"/>
        <item x="331"/>
        <item x="391"/>
        <item x="44"/>
        <item x="182"/>
        <item x="479"/>
        <item x="443"/>
        <item x="77"/>
        <item x="379"/>
        <item x="31"/>
        <item x="264"/>
        <item x="398"/>
        <item x="491"/>
        <item x="325"/>
        <item x="50"/>
        <item x="76"/>
        <item x="452"/>
        <item x="498"/>
        <item x="428"/>
        <item x="158"/>
        <item x="39"/>
        <item x="97"/>
        <item x="368"/>
        <item x="304"/>
        <item x="441"/>
        <item x="103"/>
        <item x="94"/>
        <item x="254"/>
        <item x="363"/>
        <item x="386"/>
        <item x="301"/>
        <item x="469"/>
        <item x="457"/>
        <item x="232"/>
        <item x="380"/>
        <item x="315"/>
        <item x="333"/>
        <item x="47"/>
        <item x="96"/>
        <item x="79"/>
        <item x="486"/>
        <item x="367"/>
        <item x="339"/>
        <item x="21"/>
        <item x="460"/>
        <item x="14"/>
        <item x="176"/>
        <item x="295"/>
        <item x="425"/>
        <item x="160"/>
        <item x="269"/>
        <item x="462"/>
        <item x="438"/>
        <item x="273"/>
        <item x="100"/>
        <item x="337"/>
        <item x="226"/>
        <item x="454"/>
        <item x="61"/>
        <item x="231"/>
        <item x="413"/>
        <item x="80"/>
        <item x="286"/>
        <item x="225"/>
        <item x="28"/>
        <item x="30"/>
        <item x="475"/>
        <item x="266"/>
        <item x="327"/>
        <item x="299"/>
        <item x="147"/>
        <item x="36"/>
        <item x="431"/>
        <item x="34"/>
        <item x="151"/>
        <item x="467"/>
        <item x="235"/>
        <item x="227"/>
        <item x="455"/>
        <item x="112"/>
        <item x="190"/>
        <item t="default"/>
      </items>
    </pivotField>
    <pivotField axis="axisRow" showAll="0">
      <items count="5">
        <item x="2"/>
        <item x="3"/>
        <item x="1"/>
        <item x="0"/>
        <item t="default"/>
      </items>
    </pivotField>
    <pivotField showAll="0" defaultSubtotal="0"/>
    <pivotField showAll="0" defaultSubtotal="0">
      <items count="14">
        <item h="1" x="0"/>
        <item x="1"/>
        <item h="1" x="2"/>
        <item h="1" x="3"/>
        <item h="1" x="4"/>
        <item h="1" x="5"/>
        <item h="1" x="6"/>
        <item h="1" x="7"/>
        <item h="1" x="8"/>
        <item h="1" x="9"/>
        <item h="1" x="10"/>
        <item h="1" x="11"/>
        <item h="1" x="12"/>
        <item h="1" x="13"/>
      </items>
    </pivotField>
  </pivotFields>
  <rowFields count="1">
    <field x="11"/>
  </rowFields>
  <rowItems count="5">
    <i>
      <x/>
    </i>
    <i>
      <x v="1"/>
    </i>
    <i>
      <x v="2"/>
    </i>
    <i>
      <x v="3"/>
    </i>
    <i t="grand">
      <x/>
    </i>
  </rowItems>
  <colFields count="1">
    <field x="-2"/>
  </colFields>
  <colItems count="2">
    <i>
      <x/>
    </i>
    <i i="1">
      <x v="1"/>
    </i>
  </colItems>
  <dataFields count="2">
    <dataField name="Avg Revenue" fld="10" subtotal="average" baseField="11" baseItem="0" numFmtId="43"/>
    <dataField name="Total Revenue" fld="10" baseField="11" baseItem="0" numFmtId="43"/>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chartFormats count="2">
    <chartFormat chart="28" format="8" series="1">
      <pivotArea type="data" outline="0" fieldPosition="0">
        <references count="1">
          <reference field="4294967294" count="1" selected="0">
            <x v="1"/>
          </reference>
        </references>
      </pivotArea>
    </chartFormat>
    <chartFormat chart="2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4D94E7-F558-45A2-BE50-371929E3D6F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_Rep">
  <location ref="A46:G59" firstHeaderRow="1" firstDataRow="2" firstDataCol="1"/>
  <pivotFields count="14">
    <pivotField showAll="0"/>
    <pivotField numFmtId="14" showAll="0">
      <items count="275">
        <item x="47"/>
        <item x="65"/>
        <item x="12"/>
        <item x="138"/>
        <item x="46"/>
        <item x="125"/>
        <item x="8"/>
        <item x="207"/>
        <item x="90"/>
        <item x="264"/>
        <item x="120"/>
        <item x="170"/>
        <item x="108"/>
        <item x="112"/>
        <item x="202"/>
        <item x="204"/>
        <item x="179"/>
        <item x="167"/>
        <item x="67"/>
        <item x="238"/>
        <item x="156"/>
        <item x="82"/>
        <item x="161"/>
        <item x="203"/>
        <item x="80"/>
        <item x="251"/>
        <item x="119"/>
        <item x="248"/>
        <item x="34"/>
        <item x="95"/>
        <item x="58"/>
        <item x="24"/>
        <item x="122"/>
        <item x="173"/>
        <item x="144"/>
        <item x="206"/>
        <item x="153"/>
        <item x="103"/>
        <item x="182"/>
        <item x="52"/>
        <item x="49"/>
        <item x="141"/>
        <item x="20"/>
        <item x="246"/>
        <item x="268"/>
        <item x="60"/>
        <item x="233"/>
        <item x="186"/>
        <item x="154"/>
        <item x="63"/>
        <item x="66"/>
        <item x="143"/>
        <item x="32"/>
        <item x="7"/>
        <item x="263"/>
        <item x="239"/>
        <item x="21"/>
        <item x="271"/>
        <item x="93"/>
        <item x="256"/>
        <item x="133"/>
        <item x="61"/>
        <item x="235"/>
        <item x="68"/>
        <item x="155"/>
        <item x="209"/>
        <item x="89"/>
        <item x="253"/>
        <item x="247"/>
        <item x="41"/>
        <item x="159"/>
        <item x="200"/>
        <item x="259"/>
        <item x="117"/>
        <item x="150"/>
        <item x="197"/>
        <item x="199"/>
        <item x="135"/>
        <item x="79"/>
        <item x="97"/>
        <item x="175"/>
        <item x="255"/>
        <item x="216"/>
        <item x="109"/>
        <item x="72"/>
        <item x="272"/>
        <item x="222"/>
        <item x="39"/>
        <item x="50"/>
        <item x="19"/>
        <item x="43"/>
        <item x="172"/>
        <item x="107"/>
        <item x="229"/>
        <item x="190"/>
        <item x="118"/>
        <item x="181"/>
        <item x="104"/>
        <item x="3"/>
        <item x="180"/>
        <item x="226"/>
        <item x="230"/>
        <item x="55"/>
        <item x="165"/>
        <item x="232"/>
        <item x="83"/>
        <item x="188"/>
        <item x="126"/>
        <item x="54"/>
        <item x="128"/>
        <item x="110"/>
        <item x="157"/>
        <item x="36"/>
        <item x="136"/>
        <item x="234"/>
        <item x="183"/>
        <item x="22"/>
        <item x="129"/>
        <item x="185"/>
        <item x="236"/>
        <item x="174"/>
        <item x="139"/>
        <item x="176"/>
        <item x="214"/>
        <item x="88"/>
        <item x="273"/>
        <item x="258"/>
        <item x="252"/>
        <item x="37"/>
        <item x="59"/>
        <item x="145"/>
        <item x="44"/>
        <item x="269"/>
        <item x="142"/>
        <item x="149"/>
        <item x="262"/>
        <item x="77"/>
        <item x="208"/>
        <item x="227"/>
        <item x="6"/>
        <item x="151"/>
        <item x="189"/>
        <item x="18"/>
        <item x="74"/>
        <item x="130"/>
        <item x="177"/>
        <item x="11"/>
        <item x="160"/>
        <item x="16"/>
        <item x="217"/>
        <item x="45"/>
        <item x="99"/>
        <item x="244"/>
        <item x="257"/>
        <item x="71"/>
        <item x="191"/>
        <item x="30"/>
        <item x="158"/>
        <item x="152"/>
        <item x="4"/>
        <item x="187"/>
        <item x="169"/>
        <item x="184"/>
        <item x="28"/>
        <item x="92"/>
        <item x="53"/>
        <item x="195"/>
        <item x="31"/>
        <item x="69"/>
        <item x="148"/>
        <item x="25"/>
        <item x="70"/>
        <item x="96"/>
        <item x="10"/>
        <item x="219"/>
        <item x="124"/>
        <item x="116"/>
        <item x="164"/>
        <item x="40"/>
        <item x="237"/>
        <item x="2"/>
        <item x="171"/>
        <item x="14"/>
        <item x="261"/>
        <item x="228"/>
        <item x="266"/>
        <item x="94"/>
        <item x="1"/>
        <item x="224"/>
        <item x="15"/>
        <item x="78"/>
        <item x="26"/>
        <item x="91"/>
        <item x="218"/>
        <item x="51"/>
        <item x="198"/>
        <item x="267"/>
        <item x="98"/>
        <item x="64"/>
        <item x="223"/>
        <item x="250"/>
        <item x="166"/>
        <item x="137"/>
        <item x="123"/>
        <item x="9"/>
        <item x="111"/>
        <item x="76"/>
        <item x="105"/>
        <item x="196"/>
        <item x="81"/>
        <item x="163"/>
        <item x="221"/>
        <item x="231"/>
        <item x="23"/>
        <item x="35"/>
        <item x="220"/>
        <item x="29"/>
        <item x="42"/>
        <item x="75"/>
        <item x="127"/>
        <item x="245"/>
        <item x="101"/>
        <item x="194"/>
        <item x="212"/>
        <item x="85"/>
        <item x="241"/>
        <item x="210"/>
        <item x="86"/>
        <item x="225"/>
        <item x="211"/>
        <item x="33"/>
        <item x="168"/>
        <item x="254"/>
        <item x="205"/>
        <item x="146"/>
        <item x="242"/>
        <item x="134"/>
        <item x="5"/>
        <item x="121"/>
        <item x="102"/>
        <item x="193"/>
        <item x="270"/>
        <item x="192"/>
        <item x="140"/>
        <item x="113"/>
        <item x="162"/>
        <item x="114"/>
        <item x="115"/>
        <item x="213"/>
        <item x="201"/>
        <item x="243"/>
        <item x="131"/>
        <item x="0"/>
        <item x="260"/>
        <item x="240"/>
        <item x="147"/>
        <item x="57"/>
        <item x="265"/>
        <item x="73"/>
        <item x="17"/>
        <item x="13"/>
        <item x="249"/>
        <item x="106"/>
        <item x="48"/>
        <item x="215"/>
        <item x="56"/>
        <item x="27"/>
        <item x="100"/>
        <item x="132"/>
        <item x="84"/>
        <item x="87"/>
        <item x="38"/>
        <item x="62"/>
        <item x="178"/>
        <item t="default"/>
      </items>
    </pivotField>
    <pivotField showAll="0"/>
    <pivotField axis="axisRow" showAll="0" sortType="descending">
      <items count="12">
        <item x="4"/>
        <item x="1"/>
        <item x="2"/>
        <item x="5"/>
        <item x="10"/>
        <item x="3"/>
        <item x="6"/>
        <item x="9"/>
        <item x="8"/>
        <item x="7"/>
        <item x="0"/>
        <item t="default"/>
      </items>
      <autoSortScope>
        <pivotArea dataOnly="0" outline="0" fieldPosition="0">
          <references count="1">
            <reference field="4294967294" count="1" selected="0">
              <x v="0"/>
            </reference>
          </references>
        </pivotArea>
      </autoSortScope>
    </pivotField>
    <pivotField axis="axisCol" showAll="0">
      <items count="6">
        <item x="1"/>
        <item x="3"/>
        <item x="4"/>
        <item x="0"/>
        <item x="2"/>
        <item t="default"/>
      </items>
    </pivotField>
    <pivotField showAll="0">
      <items count="9">
        <item x="4"/>
        <item x="2"/>
        <item x="1"/>
        <item x="7"/>
        <item x="5"/>
        <item x="3"/>
        <item x="6"/>
        <item x="0"/>
        <item t="default"/>
      </items>
    </pivotField>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2">
    <i>
      <x v="7"/>
    </i>
    <i>
      <x v="6"/>
    </i>
    <i>
      <x v="2"/>
    </i>
    <i>
      <x v="3"/>
    </i>
    <i>
      <x/>
    </i>
    <i>
      <x v="4"/>
    </i>
    <i>
      <x v="5"/>
    </i>
    <i>
      <x v="1"/>
    </i>
    <i>
      <x v="9"/>
    </i>
    <i>
      <x v="8"/>
    </i>
    <i>
      <x v="10"/>
    </i>
    <i t="grand">
      <x/>
    </i>
  </rowItems>
  <colFields count="1">
    <field x="4"/>
  </colFields>
  <colItems count="6">
    <i>
      <x/>
    </i>
    <i>
      <x v="1"/>
    </i>
    <i>
      <x v="2"/>
    </i>
    <i>
      <x v="3"/>
    </i>
    <i>
      <x v="4"/>
    </i>
    <i t="grand">
      <x/>
    </i>
  </colItems>
  <dataFields count="1">
    <dataField name="Total Revenue" fld="10" baseField="0" baseItem="0"/>
  </dataFields>
  <formats count="3">
    <format dxfId="4">
      <pivotArea collapsedLevelsAreSubtotals="1" fieldPosition="0">
        <references count="1">
          <reference field="3" count="0"/>
        </references>
      </pivotArea>
    </format>
    <format dxfId="3">
      <pivotArea grandRow="1" grandCol="1" outline="0" collapsedLevelsAreSubtotals="1" fieldPosition="0"/>
    </format>
    <format dxfId="2">
      <pivotArea field="4" grandRow="1" outline="0" collapsedLevelsAreSubtotals="1" axis="axisCol" fieldPosition="0">
        <references count="1">
          <reference field="4" count="0" selected="0"/>
        </references>
      </pivotArea>
    </format>
  </formats>
  <chartFormats count="5">
    <chartFormat chart="3" format="10" series="1">
      <pivotArea type="data" outline="0" fieldPosition="0">
        <references count="2">
          <reference field="4294967294" count="1" selected="0">
            <x v="0"/>
          </reference>
          <reference field="4" count="1" selected="0">
            <x v="0"/>
          </reference>
        </references>
      </pivotArea>
    </chartFormat>
    <chartFormat chart="3" format="11" series="1">
      <pivotArea type="data" outline="0" fieldPosition="0">
        <references count="2">
          <reference field="4294967294" count="1" selected="0">
            <x v="0"/>
          </reference>
          <reference field="4" count="1" selected="0">
            <x v="1"/>
          </reference>
        </references>
      </pivotArea>
    </chartFormat>
    <chartFormat chart="3" format="12" series="1">
      <pivotArea type="data" outline="0" fieldPosition="0">
        <references count="2">
          <reference field="4294967294" count="1" selected="0">
            <x v="0"/>
          </reference>
          <reference field="4" count="1" selected="0">
            <x v="2"/>
          </reference>
        </references>
      </pivotArea>
    </chartFormat>
    <chartFormat chart="3" format="13" series="1">
      <pivotArea type="data" outline="0" fieldPosition="0">
        <references count="2">
          <reference field="4294967294" count="1" selected="0">
            <x v="0"/>
          </reference>
          <reference field="4" count="1" selected="0">
            <x v="3"/>
          </reference>
        </references>
      </pivotArea>
    </chartFormat>
    <chartFormat chart="3" format="1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5CB31F-DB0B-490B-8C3B-68D53DCBE0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ales_Rep">
  <location ref="A26:G39" firstHeaderRow="1" firstDataRow="2" firstDataCol="1"/>
  <pivotFields count="14">
    <pivotField showAll="0"/>
    <pivotField numFmtId="14" showAll="0">
      <items count="275">
        <item x="47"/>
        <item x="65"/>
        <item x="12"/>
        <item x="138"/>
        <item x="46"/>
        <item x="125"/>
        <item x="8"/>
        <item x="207"/>
        <item x="90"/>
        <item x="264"/>
        <item x="120"/>
        <item x="170"/>
        <item x="108"/>
        <item x="112"/>
        <item x="202"/>
        <item x="204"/>
        <item x="179"/>
        <item x="167"/>
        <item x="67"/>
        <item x="238"/>
        <item x="156"/>
        <item x="82"/>
        <item x="161"/>
        <item x="203"/>
        <item x="80"/>
        <item x="251"/>
        <item x="119"/>
        <item x="248"/>
        <item x="34"/>
        <item x="95"/>
        <item x="58"/>
        <item x="24"/>
        <item x="122"/>
        <item x="173"/>
        <item x="144"/>
        <item x="206"/>
        <item x="153"/>
        <item x="103"/>
        <item x="182"/>
        <item x="52"/>
        <item x="49"/>
        <item x="141"/>
        <item x="20"/>
        <item x="246"/>
        <item x="268"/>
        <item x="60"/>
        <item x="233"/>
        <item x="186"/>
        <item x="154"/>
        <item x="63"/>
        <item x="66"/>
        <item x="143"/>
        <item x="32"/>
        <item x="7"/>
        <item x="263"/>
        <item x="239"/>
        <item x="21"/>
        <item x="271"/>
        <item x="93"/>
        <item x="256"/>
        <item x="133"/>
        <item x="61"/>
        <item x="235"/>
        <item x="68"/>
        <item x="155"/>
        <item x="209"/>
        <item x="89"/>
        <item x="253"/>
        <item x="247"/>
        <item x="41"/>
        <item x="159"/>
        <item x="200"/>
        <item x="259"/>
        <item x="117"/>
        <item x="150"/>
        <item x="197"/>
        <item x="199"/>
        <item x="135"/>
        <item x="79"/>
        <item x="97"/>
        <item x="175"/>
        <item x="255"/>
        <item x="216"/>
        <item x="109"/>
        <item x="72"/>
        <item x="272"/>
        <item x="222"/>
        <item x="39"/>
        <item x="50"/>
        <item x="19"/>
        <item x="43"/>
        <item x="172"/>
        <item x="107"/>
        <item x="229"/>
        <item x="190"/>
        <item x="118"/>
        <item x="181"/>
        <item x="104"/>
        <item x="3"/>
        <item x="180"/>
        <item x="226"/>
        <item x="230"/>
        <item x="55"/>
        <item x="165"/>
        <item x="232"/>
        <item x="83"/>
        <item x="188"/>
        <item x="126"/>
        <item x="54"/>
        <item x="128"/>
        <item x="110"/>
        <item x="157"/>
        <item x="36"/>
        <item x="136"/>
        <item x="234"/>
        <item x="183"/>
        <item x="22"/>
        <item x="129"/>
        <item x="185"/>
        <item x="236"/>
        <item x="174"/>
        <item x="139"/>
        <item x="176"/>
        <item x="214"/>
        <item x="88"/>
        <item x="273"/>
        <item x="258"/>
        <item x="252"/>
        <item x="37"/>
        <item x="59"/>
        <item x="145"/>
        <item x="44"/>
        <item x="269"/>
        <item x="142"/>
        <item x="149"/>
        <item x="262"/>
        <item x="77"/>
        <item x="208"/>
        <item x="227"/>
        <item x="6"/>
        <item x="151"/>
        <item x="189"/>
        <item x="18"/>
        <item x="74"/>
        <item x="130"/>
        <item x="177"/>
        <item x="11"/>
        <item x="160"/>
        <item x="16"/>
        <item x="217"/>
        <item x="45"/>
        <item x="99"/>
        <item x="244"/>
        <item x="257"/>
        <item x="71"/>
        <item x="191"/>
        <item x="30"/>
        <item x="158"/>
        <item x="152"/>
        <item x="4"/>
        <item x="187"/>
        <item x="169"/>
        <item x="184"/>
        <item x="28"/>
        <item x="92"/>
        <item x="53"/>
        <item x="195"/>
        <item x="31"/>
        <item x="69"/>
        <item x="148"/>
        <item x="25"/>
        <item x="70"/>
        <item x="96"/>
        <item x="10"/>
        <item x="219"/>
        <item x="124"/>
        <item x="116"/>
        <item x="164"/>
        <item x="40"/>
        <item x="237"/>
        <item x="2"/>
        <item x="171"/>
        <item x="14"/>
        <item x="261"/>
        <item x="228"/>
        <item x="266"/>
        <item x="94"/>
        <item x="1"/>
        <item x="224"/>
        <item x="15"/>
        <item x="78"/>
        <item x="26"/>
        <item x="91"/>
        <item x="218"/>
        <item x="51"/>
        <item x="198"/>
        <item x="267"/>
        <item x="98"/>
        <item x="64"/>
        <item x="223"/>
        <item x="250"/>
        <item x="166"/>
        <item x="137"/>
        <item x="123"/>
        <item x="9"/>
        <item x="111"/>
        <item x="76"/>
        <item x="105"/>
        <item x="196"/>
        <item x="81"/>
        <item x="163"/>
        <item x="221"/>
        <item x="231"/>
        <item x="23"/>
        <item x="35"/>
        <item x="220"/>
        <item x="29"/>
        <item x="42"/>
        <item x="75"/>
        <item x="127"/>
        <item x="245"/>
        <item x="101"/>
        <item x="194"/>
        <item x="212"/>
        <item x="85"/>
        <item x="241"/>
        <item x="210"/>
        <item x="86"/>
        <item x="225"/>
        <item x="211"/>
        <item x="33"/>
        <item x="168"/>
        <item x="254"/>
        <item x="205"/>
        <item x="146"/>
        <item x="242"/>
        <item x="134"/>
        <item x="5"/>
        <item x="121"/>
        <item x="102"/>
        <item x="193"/>
        <item x="270"/>
        <item x="192"/>
        <item x="140"/>
        <item x="113"/>
        <item x="162"/>
        <item x="114"/>
        <item x="115"/>
        <item x="213"/>
        <item x="201"/>
        <item x="243"/>
        <item x="131"/>
        <item x="0"/>
        <item x="260"/>
        <item x="240"/>
        <item x="147"/>
        <item x="57"/>
        <item x="265"/>
        <item x="73"/>
        <item x="17"/>
        <item x="13"/>
        <item x="249"/>
        <item x="106"/>
        <item x="48"/>
        <item x="215"/>
        <item x="56"/>
        <item x="27"/>
        <item x="100"/>
        <item x="132"/>
        <item x="84"/>
        <item x="87"/>
        <item x="38"/>
        <item x="62"/>
        <item x="178"/>
        <item t="default"/>
      </items>
    </pivotField>
    <pivotField showAll="0"/>
    <pivotField axis="axisRow" showAll="0">
      <items count="12">
        <item x="4"/>
        <item x="1"/>
        <item x="2"/>
        <item x="5"/>
        <item x="10"/>
        <item x="3"/>
        <item x="6"/>
        <item x="9"/>
        <item x="8"/>
        <item x="7"/>
        <item x="0"/>
        <item t="default"/>
      </items>
    </pivotField>
    <pivotField axis="axisCol" showAll="0">
      <items count="6">
        <item x="1"/>
        <item x="3"/>
        <item x="4"/>
        <item x="0"/>
        <item x="2"/>
        <item t="default"/>
      </items>
    </pivotField>
    <pivotField showAll="0">
      <items count="9">
        <item x="4"/>
        <item x="2"/>
        <item x="1"/>
        <item x="7"/>
        <item x="5"/>
        <item x="3"/>
        <item x="6"/>
        <item x="0"/>
        <item t="default"/>
      </items>
    </pivotField>
    <pivotField showAll="0"/>
    <pivotField showAll="0"/>
    <pivotField showAll="0"/>
    <pivotField dataField="1" showAll="0">
      <items count="19">
        <item x="12"/>
        <item x="10"/>
        <item x="17"/>
        <item x="14"/>
        <item x="11"/>
        <item x="9"/>
        <item x="0"/>
        <item x="15"/>
        <item x="5"/>
        <item x="3"/>
        <item x="8"/>
        <item x="1"/>
        <item x="4"/>
        <item x="16"/>
        <item x="13"/>
        <item x="7"/>
        <item x="2"/>
        <item x="6"/>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2">
    <i>
      <x/>
    </i>
    <i>
      <x v="1"/>
    </i>
    <i>
      <x v="2"/>
    </i>
    <i>
      <x v="3"/>
    </i>
    <i>
      <x v="4"/>
    </i>
    <i>
      <x v="5"/>
    </i>
    <i>
      <x v="6"/>
    </i>
    <i>
      <x v="7"/>
    </i>
    <i>
      <x v="8"/>
    </i>
    <i>
      <x v="9"/>
    </i>
    <i>
      <x v="10"/>
    </i>
    <i t="grand">
      <x/>
    </i>
  </rowItems>
  <colFields count="1">
    <field x="4"/>
  </colFields>
  <colItems count="6">
    <i>
      <x/>
    </i>
    <i>
      <x v="1"/>
    </i>
    <i>
      <x v="2"/>
    </i>
    <i>
      <x v="3"/>
    </i>
    <i>
      <x v="4"/>
    </i>
    <i t="grand">
      <x/>
    </i>
  </colItems>
  <dataFields count="1">
    <dataField name="Avg Discount" fld="9" subtotal="average" baseField="3" baseItem="0"/>
  </dataFields>
  <formats count="1">
    <format dxfId="5">
      <pivotArea dataOnly="0" outline="0" fieldPosition="0">
        <references count="1">
          <reference field="4294967294" count="1">
            <x v="0"/>
          </reference>
        </references>
      </pivotArea>
    </format>
  </formats>
  <chartFormats count="5">
    <chartFormat chart="15" format="10" series="1">
      <pivotArea type="data" outline="0" fieldPosition="0">
        <references count="2">
          <reference field="4294967294" count="1" selected="0">
            <x v="0"/>
          </reference>
          <reference field="4" count="1" selected="0">
            <x v="0"/>
          </reference>
        </references>
      </pivotArea>
    </chartFormat>
    <chartFormat chart="15" format="11" series="1">
      <pivotArea type="data" outline="0" fieldPosition="0">
        <references count="2">
          <reference field="4294967294" count="1" selected="0">
            <x v="0"/>
          </reference>
          <reference field="4" count="1" selected="0">
            <x v="1"/>
          </reference>
        </references>
      </pivotArea>
    </chartFormat>
    <chartFormat chart="15" format="12" series="1">
      <pivotArea type="data" outline="0" fieldPosition="0">
        <references count="2">
          <reference field="4294967294" count="1" selected="0">
            <x v="0"/>
          </reference>
          <reference field="4" count="1" selected="0">
            <x v="2"/>
          </reference>
        </references>
      </pivotArea>
    </chartFormat>
    <chartFormat chart="15" format="13" series="1">
      <pivotArea type="data" outline="0" fieldPosition="0">
        <references count="2">
          <reference field="4294967294" count="1" selected="0">
            <x v="0"/>
          </reference>
          <reference field="4" count="1" selected="0">
            <x v="3"/>
          </reference>
        </references>
      </pivotArea>
    </chartFormat>
    <chartFormat chart="15" format="1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F05302B-1F82-44FF-9980-7CAF6CDA5D49}" autoFormatId="16" applyNumberFormats="0" applyBorderFormats="0" applyFontFormats="0" applyPatternFormats="0" applyAlignmentFormats="0" applyWidthHeightFormats="0">
  <queryTableRefresh nextId="13" unboundColumnsRight="1">
    <queryTableFields count="12">
      <queryTableField id="1" name="Order_ID" tableColumnId="1"/>
      <queryTableField id="2" name="Date" tableColumnId="2"/>
      <queryTableField id="3" name="Customer_ID" tableColumnId="3"/>
      <queryTableField id="4" name="Sales_Rep" tableColumnId="4"/>
      <queryTableField id="5" name="Region" tableColumnId="5"/>
      <queryTableField id="6" name="Product" tableColumnId="6"/>
      <queryTableField id="7" name="Category" tableColumnId="7"/>
      <queryTableField id="8" name="Quantity" tableColumnId="8"/>
      <queryTableField id="9" name="Unit_Price" tableColumnId="9"/>
      <queryTableField id="10" name="Discount_%" tableColumnId="10"/>
      <queryTableField id="11" name="Revenue"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173CF5-49C5-4444-B87A-A0CEFBA6C6EF}" sourceName="Region">
  <pivotTables>
    <pivotTable tabId="3" name="PivotTable4"/>
  </pivotTables>
  <data>
    <tabular pivotCacheId="947207392">
      <items count="5">
        <i x="1" s="1"/>
        <i x="3" s="1"/>
        <i x="4"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21504D4A-CE8F-47A8-A4C4-9DAF8D01D364}" sourceName="Product">
  <pivotTables>
    <pivotTable tabId="3" name="PivotTable1"/>
    <pivotTable tabId="3" name="PivotTable2"/>
    <pivotTable tabId="3" name="PivotTable4"/>
    <pivotTable tabId="3" name="PivotTable8"/>
    <pivotTable tabId="4" name="PivotTable1"/>
    <pivotTable tabId="4" name="PivotTable2"/>
    <pivotTable tabId="4" name="PivotTable7"/>
  </pivotTables>
  <data>
    <tabular pivotCacheId="947207392">
      <items count="8">
        <i x="4" s="1"/>
        <i x="2" s="1"/>
        <i x="1" s="1"/>
        <i x="7" s="1"/>
        <i x="5" s="1"/>
        <i x="3"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CBB2E409-71E3-461B-BDD1-7557D27EF729}" sourceName="Sales_Rep">
  <pivotTables>
    <pivotTable tabId="3" name="PivotTable8"/>
  </pivotTables>
  <data>
    <tabular pivotCacheId="947207392">
      <items count="11">
        <i x="4" s="1"/>
        <i x="1" s="1"/>
        <i x="2" s="1"/>
        <i x="5" s="1"/>
        <i x="10" s="1"/>
        <i x="3" s="1"/>
        <i x="6" s="1"/>
        <i x="9" s="1"/>
        <i x="8" s="1"/>
        <i x="7"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6AE9B4C-10CC-4F03-9382-EF77EDCB52CB}" cache="Slicer_Region" caption="Region" startItem="2" rowHeight="241300"/>
  <slicer name="Product" xr10:uid="{DB9F055C-2C84-4F77-B019-DFBCFE291BB4}" cache="Slicer_Product1" caption="Product" startItem="1" rowHeight="241300"/>
  <slicer name="Sales_Rep" xr10:uid="{5DC2ABC3-6A31-48AF-AE55-09AF538FDCE0}" cache="Slicer_Sales_Rep" caption="Sales_Rep" startItem="7"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A121FB-FF10-4473-B270-6F8966024ECA}" name="Tech_Sales_Data" displayName="Tech_Sales_Data" ref="A1:L511" tableType="queryTable" totalsRowShown="0">
  <autoFilter ref="A1:L511" xr:uid="{AEA121FB-FF10-4473-B270-6F8966024ECA}"/>
  <tableColumns count="12">
    <tableColumn id="1" xr3:uid="{3441AE36-0AF3-4E4F-BE08-6B43FF225CEF}" uniqueName="1" name="Order_ID" queryTableFieldId="1" dataDxfId="18"/>
    <tableColumn id="2" xr3:uid="{9314BB5D-50B2-4FAC-8586-8FB0AB2A96B5}" uniqueName="2" name="Date" queryTableFieldId="2" dataDxfId="17"/>
    <tableColumn id="3" xr3:uid="{7E61478A-E4F8-49B2-A0D4-0882276F465A}" uniqueName="3" name="Customer_ID" queryTableFieldId="3" dataDxfId="16"/>
    <tableColumn id="4" xr3:uid="{652098E6-1B30-48C4-B3FC-B5C708AEF093}" uniqueName="4" name="Sales_Rep" queryTableFieldId="4" dataDxfId="15"/>
    <tableColumn id="5" xr3:uid="{F197488A-EAA8-4E1B-BD4D-FC6622393B79}" uniqueName="5" name="Region" queryTableFieldId="5" dataDxfId="14"/>
    <tableColumn id="6" xr3:uid="{ABB95B2C-AA75-40B9-850C-C17DEB9B1CEA}" uniqueName="6" name="Product" queryTableFieldId="6" dataDxfId="13"/>
    <tableColumn id="7" xr3:uid="{4043804D-2FC3-4AA2-9D0C-7F9404D7A306}" uniqueName="7" name="Category" queryTableFieldId="7" dataDxfId="12"/>
    <tableColumn id="8" xr3:uid="{5F8E57BA-64AF-4983-B76E-010174D4EAD4}" uniqueName="8" name="Quantity" queryTableFieldId="8"/>
    <tableColumn id="9" xr3:uid="{1B02D2E7-BDCB-4905-B882-DE9F757E5897}" uniqueName="9" name="Unit_Price" queryTableFieldId="9"/>
    <tableColumn id="10" xr3:uid="{DBF8A0C0-C7BE-4A6D-9893-458B71606C1E}" uniqueName="10" name="Discount_%" queryTableFieldId="10"/>
    <tableColumn id="11" xr3:uid="{FBAFC40F-78F2-4CBD-A03A-90C1AC8AC89F}" uniqueName="11" name="Revenue" queryTableFieldId="11"/>
    <tableColumn id="12" xr3:uid="{AD149E9F-AA50-4442-A280-5FB40B350801}" uniqueName="12" name="Discount_Band" queryTableFieldId="12" dataDxfId="11">
      <calculatedColumnFormula>IF(J2=0, "No_Discount ", IF(J2&lt;=0.1, "Low ", IF(J2&lt;=0.2, "Medium ", "High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65D1-5216-44C3-A5D8-D5CC32C257AB}">
  <dimension ref="A1:K511"/>
  <sheetViews>
    <sheetView tabSelected="1" workbookViewId="0">
      <selection activeCell="M2" sqref="M2"/>
    </sheetView>
  </sheetViews>
  <sheetFormatPr defaultRowHeight="15" x14ac:dyDescent="0.25"/>
  <cols>
    <col min="1" max="1" width="10.5703125" bestFit="1" customWidth="1"/>
    <col min="2" max="2" width="18.5703125" bestFit="1" customWidth="1"/>
    <col min="3" max="3" width="14.28515625" bestFit="1" customWidth="1"/>
    <col min="4" max="4" width="14.140625" bestFit="1" customWidth="1"/>
    <col min="7" max="7" width="11.140625" bestFit="1" customWidth="1"/>
    <col min="9" max="9" width="11.5703125" bestFit="1" customWidth="1"/>
    <col min="10" max="10" width="13.140625" bestFit="1" customWidth="1"/>
  </cols>
  <sheetData>
    <row r="1" spans="1:11" x14ac:dyDescent="0.25">
      <c r="A1" s="5" t="s">
        <v>0</v>
      </c>
      <c r="B1" s="5" t="s">
        <v>1</v>
      </c>
      <c r="C1" s="5" t="s">
        <v>2</v>
      </c>
      <c r="D1" s="5" t="s">
        <v>3</v>
      </c>
      <c r="E1" s="5" t="s">
        <v>4</v>
      </c>
      <c r="F1" s="5" t="s">
        <v>5</v>
      </c>
      <c r="G1" s="5" t="s">
        <v>6</v>
      </c>
      <c r="H1" s="5" t="s">
        <v>7</v>
      </c>
      <c r="I1" s="5" t="s">
        <v>8</v>
      </c>
      <c r="J1" s="5" t="s">
        <v>9</v>
      </c>
      <c r="K1" s="5" t="s">
        <v>10</v>
      </c>
    </row>
    <row r="2" spans="1:11" x14ac:dyDescent="0.25">
      <c r="A2" t="s">
        <v>11</v>
      </c>
      <c r="B2" t="s">
        <v>888</v>
      </c>
      <c r="C2" t="s">
        <v>12</v>
      </c>
      <c r="E2" t="s">
        <v>889</v>
      </c>
      <c r="F2" t="s">
        <v>890</v>
      </c>
      <c r="G2" t="s">
        <v>16</v>
      </c>
      <c r="H2">
        <v>29</v>
      </c>
      <c r="I2">
        <v>91.07</v>
      </c>
      <c r="J2">
        <v>0</v>
      </c>
      <c r="K2">
        <v>2641.03</v>
      </c>
    </row>
    <row r="3" spans="1:11" x14ac:dyDescent="0.25">
      <c r="A3" t="s">
        <v>17</v>
      </c>
      <c r="B3" t="s">
        <v>891</v>
      </c>
      <c r="C3" t="s">
        <v>18</v>
      </c>
      <c r="D3" t="s">
        <v>19</v>
      </c>
      <c r="E3" t="s">
        <v>892</v>
      </c>
      <c r="F3" t="s">
        <v>893</v>
      </c>
      <c r="G3" t="s">
        <v>22</v>
      </c>
      <c r="H3">
        <v>10</v>
      </c>
      <c r="I3">
        <v>79.599999999999994</v>
      </c>
      <c r="J3">
        <v>0</v>
      </c>
      <c r="K3">
        <v>796</v>
      </c>
    </row>
    <row r="4" spans="1:11" x14ac:dyDescent="0.25">
      <c r="A4" t="s">
        <v>23</v>
      </c>
      <c r="B4" t="s">
        <v>894</v>
      </c>
      <c r="C4" t="s">
        <v>24</v>
      </c>
      <c r="D4" t="s">
        <v>25</v>
      </c>
      <c r="E4" t="s">
        <v>895</v>
      </c>
      <c r="F4" t="s">
        <v>896</v>
      </c>
      <c r="G4" t="s">
        <v>28</v>
      </c>
      <c r="H4">
        <v>24</v>
      </c>
      <c r="I4">
        <v>118.43</v>
      </c>
      <c r="J4">
        <v>15</v>
      </c>
      <c r="K4">
        <v>2415.9699999999998</v>
      </c>
    </row>
    <row r="5" spans="1:11" x14ac:dyDescent="0.25">
      <c r="A5" t="s">
        <v>29</v>
      </c>
      <c r="B5" t="s">
        <v>897</v>
      </c>
      <c r="C5" t="s">
        <v>30</v>
      </c>
      <c r="D5" t="s">
        <v>31</v>
      </c>
      <c r="E5" t="s">
        <v>26</v>
      </c>
      <c r="F5" t="s">
        <v>898</v>
      </c>
      <c r="G5" t="s">
        <v>22</v>
      </c>
      <c r="H5">
        <v>33</v>
      </c>
      <c r="I5">
        <v>432.9</v>
      </c>
      <c r="J5" t="s">
        <v>899</v>
      </c>
      <c r="K5">
        <v>1357.14</v>
      </c>
    </row>
    <row r="6" spans="1:11" x14ac:dyDescent="0.25">
      <c r="A6" t="s">
        <v>33</v>
      </c>
      <c r="B6" t="s">
        <v>900</v>
      </c>
      <c r="C6" t="s">
        <v>34</v>
      </c>
      <c r="D6" t="s">
        <v>35</v>
      </c>
      <c r="E6" t="s">
        <v>901</v>
      </c>
      <c r="F6" t="s">
        <v>893</v>
      </c>
      <c r="G6" t="s">
        <v>22</v>
      </c>
      <c r="H6">
        <v>12</v>
      </c>
      <c r="I6">
        <v>91.14</v>
      </c>
      <c r="J6">
        <v>0.1</v>
      </c>
      <c r="K6">
        <v>984.31</v>
      </c>
    </row>
    <row r="7" spans="1:11" x14ac:dyDescent="0.25">
      <c r="A7" t="s">
        <v>37</v>
      </c>
      <c r="B7" t="s">
        <v>902</v>
      </c>
      <c r="C7" t="s">
        <v>38</v>
      </c>
      <c r="D7" t="s">
        <v>39</v>
      </c>
      <c r="E7" t="s">
        <v>14</v>
      </c>
      <c r="F7" t="s">
        <v>903</v>
      </c>
      <c r="G7" t="s">
        <v>28</v>
      </c>
      <c r="H7">
        <v>37</v>
      </c>
      <c r="I7">
        <v>135.66999999999999</v>
      </c>
      <c r="J7">
        <v>20</v>
      </c>
      <c r="K7">
        <v>4015.83</v>
      </c>
    </row>
    <row r="8" spans="1:11" x14ac:dyDescent="0.25">
      <c r="A8" t="s">
        <v>40</v>
      </c>
      <c r="B8" t="s">
        <v>904</v>
      </c>
      <c r="D8" t="s">
        <v>31</v>
      </c>
      <c r="E8" t="s">
        <v>905</v>
      </c>
      <c r="F8" t="s">
        <v>906</v>
      </c>
      <c r="G8" t="s">
        <v>43</v>
      </c>
      <c r="H8">
        <v>19</v>
      </c>
      <c r="I8">
        <v>344.57</v>
      </c>
      <c r="J8">
        <v>0</v>
      </c>
      <c r="K8">
        <v>6546.83</v>
      </c>
    </row>
    <row r="9" spans="1:11" x14ac:dyDescent="0.25">
      <c r="A9" t="s">
        <v>44</v>
      </c>
      <c r="B9" t="s">
        <v>907</v>
      </c>
      <c r="C9" t="s">
        <v>45</v>
      </c>
      <c r="D9" t="s">
        <v>35</v>
      </c>
      <c r="E9" t="s">
        <v>895</v>
      </c>
      <c r="F9" t="s">
        <v>898</v>
      </c>
      <c r="G9" t="s">
        <v>22</v>
      </c>
      <c r="H9">
        <v>33</v>
      </c>
      <c r="I9">
        <v>47.68</v>
      </c>
      <c r="J9">
        <v>10</v>
      </c>
      <c r="K9">
        <v>1416.1</v>
      </c>
    </row>
    <row r="10" spans="1:11" x14ac:dyDescent="0.25">
      <c r="A10" t="s">
        <v>46</v>
      </c>
      <c r="B10" t="s">
        <v>908</v>
      </c>
      <c r="C10" t="s">
        <v>47</v>
      </c>
      <c r="D10" t="s">
        <v>19</v>
      </c>
      <c r="E10" t="s">
        <v>36</v>
      </c>
      <c r="F10" t="s">
        <v>896</v>
      </c>
      <c r="G10" t="s">
        <v>28</v>
      </c>
      <c r="H10">
        <v>11</v>
      </c>
      <c r="I10">
        <v>123.27</v>
      </c>
      <c r="J10">
        <v>15</v>
      </c>
      <c r="K10">
        <v>1152.57</v>
      </c>
    </row>
    <row r="11" spans="1:11" x14ac:dyDescent="0.25">
      <c r="A11" t="s">
        <v>48</v>
      </c>
      <c r="B11" t="s">
        <v>909</v>
      </c>
      <c r="C11" t="s">
        <v>49</v>
      </c>
      <c r="D11" t="s">
        <v>50</v>
      </c>
      <c r="E11" t="s">
        <v>901</v>
      </c>
      <c r="F11" t="s">
        <v>42</v>
      </c>
      <c r="G11" t="s">
        <v>43</v>
      </c>
      <c r="H11">
        <v>37</v>
      </c>
      <c r="I11">
        <v>327.07</v>
      </c>
      <c r="J11">
        <v>5</v>
      </c>
      <c r="K11">
        <v>11496.51</v>
      </c>
    </row>
    <row r="12" spans="1:11" x14ac:dyDescent="0.25">
      <c r="A12" t="s">
        <v>51</v>
      </c>
      <c r="B12" t="s">
        <v>910</v>
      </c>
      <c r="C12" t="s">
        <v>52</v>
      </c>
      <c r="D12" t="s">
        <v>53</v>
      </c>
      <c r="E12" t="s">
        <v>892</v>
      </c>
      <c r="F12" t="s">
        <v>911</v>
      </c>
      <c r="G12" t="s">
        <v>55</v>
      </c>
      <c r="H12">
        <v>11</v>
      </c>
      <c r="I12">
        <v>464.56</v>
      </c>
      <c r="J12">
        <v>0</v>
      </c>
      <c r="K12">
        <v>5110.16</v>
      </c>
    </row>
    <row r="13" spans="1:11" x14ac:dyDescent="0.25">
      <c r="A13" t="s">
        <v>56</v>
      </c>
      <c r="B13" t="s">
        <v>912</v>
      </c>
      <c r="C13" t="s">
        <v>57</v>
      </c>
      <c r="D13" t="s">
        <v>31</v>
      </c>
      <c r="E13" t="s">
        <v>913</v>
      </c>
      <c r="F13" t="s">
        <v>898</v>
      </c>
      <c r="G13" t="s">
        <v>22</v>
      </c>
      <c r="H13">
        <v>38</v>
      </c>
      <c r="I13">
        <v>44.25</v>
      </c>
      <c r="J13">
        <v>20</v>
      </c>
      <c r="K13">
        <v>1345.2</v>
      </c>
    </row>
    <row r="14" spans="1:11" x14ac:dyDescent="0.25">
      <c r="A14" t="s">
        <v>58</v>
      </c>
      <c r="B14" t="s">
        <v>914</v>
      </c>
      <c r="C14" t="s">
        <v>59</v>
      </c>
      <c r="E14" t="s">
        <v>915</v>
      </c>
      <c r="F14" t="s">
        <v>32</v>
      </c>
      <c r="G14" t="s">
        <v>22</v>
      </c>
      <c r="H14">
        <v>9</v>
      </c>
      <c r="I14">
        <v>44.67</v>
      </c>
      <c r="K14">
        <v>341.73</v>
      </c>
    </row>
    <row r="15" spans="1:11" x14ac:dyDescent="0.25">
      <c r="A15" t="s">
        <v>61</v>
      </c>
      <c r="B15" t="s">
        <v>916</v>
      </c>
      <c r="C15" t="s">
        <v>62</v>
      </c>
      <c r="D15" t="s">
        <v>53</v>
      </c>
      <c r="E15" t="s">
        <v>915</v>
      </c>
      <c r="F15" t="s">
        <v>42</v>
      </c>
      <c r="G15" t="s">
        <v>43</v>
      </c>
      <c r="H15">
        <v>10</v>
      </c>
      <c r="I15" t="s">
        <v>917</v>
      </c>
      <c r="J15" t="s">
        <v>918</v>
      </c>
      <c r="K15">
        <v>2522.7199999999998</v>
      </c>
    </row>
    <row r="16" spans="1:11" x14ac:dyDescent="0.25">
      <c r="A16" t="s">
        <v>63</v>
      </c>
      <c r="B16" t="s">
        <v>919</v>
      </c>
      <c r="C16" t="s">
        <v>64</v>
      </c>
      <c r="D16" t="s">
        <v>19</v>
      </c>
      <c r="E16" t="s">
        <v>36</v>
      </c>
      <c r="F16" t="s">
        <v>54</v>
      </c>
      <c r="G16" t="s">
        <v>55</v>
      </c>
      <c r="H16">
        <v>47</v>
      </c>
      <c r="I16">
        <v>508.06</v>
      </c>
      <c r="J16">
        <v>10</v>
      </c>
      <c r="K16">
        <v>21490.94</v>
      </c>
    </row>
    <row r="17" spans="1:11" x14ac:dyDescent="0.25">
      <c r="A17" t="s">
        <v>65</v>
      </c>
      <c r="B17" t="s">
        <v>920</v>
      </c>
      <c r="C17" t="s">
        <v>66</v>
      </c>
      <c r="D17" t="s">
        <v>67</v>
      </c>
      <c r="E17" t="s">
        <v>14</v>
      </c>
      <c r="F17" t="s">
        <v>15</v>
      </c>
      <c r="G17" t="s">
        <v>16</v>
      </c>
      <c r="H17">
        <v>11</v>
      </c>
      <c r="I17">
        <v>95.42</v>
      </c>
      <c r="J17">
        <v>0</v>
      </c>
      <c r="K17">
        <v>1049.6199999999999</v>
      </c>
    </row>
    <row r="18" spans="1:11" x14ac:dyDescent="0.25">
      <c r="A18" t="s">
        <v>68</v>
      </c>
      <c r="B18" t="s">
        <v>921</v>
      </c>
      <c r="C18" t="s">
        <v>69</v>
      </c>
      <c r="D18" t="s">
        <v>39</v>
      </c>
      <c r="E18" t="s">
        <v>26</v>
      </c>
      <c r="F18" t="s">
        <v>890</v>
      </c>
      <c r="G18" t="s">
        <v>16</v>
      </c>
      <c r="H18">
        <v>29</v>
      </c>
      <c r="I18">
        <v>99.23</v>
      </c>
      <c r="J18">
        <v>20</v>
      </c>
      <c r="K18">
        <v>2302.14</v>
      </c>
    </row>
    <row r="19" spans="1:11" x14ac:dyDescent="0.25">
      <c r="A19" t="s">
        <v>70</v>
      </c>
      <c r="B19" t="s">
        <v>922</v>
      </c>
      <c r="C19" t="s">
        <v>71</v>
      </c>
      <c r="D19" t="s">
        <v>53</v>
      </c>
      <c r="E19" t="s">
        <v>36</v>
      </c>
      <c r="F19" t="s">
        <v>42</v>
      </c>
      <c r="G19" t="s">
        <v>43</v>
      </c>
      <c r="H19">
        <v>9</v>
      </c>
      <c r="I19">
        <v>315.56</v>
      </c>
      <c r="J19">
        <v>15</v>
      </c>
      <c r="K19">
        <v>2414.0300000000002</v>
      </c>
    </row>
    <row r="20" spans="1:11" x14ac:dyDescent="0.25">
      <c r="A20" t="s">
        <v>72</v>
      </c>
      <c r="B20" t="s">
        <v>923</v>
      </c>
      <c r="C20" t="s">
        <v>73</v>
      </c>
      <c r="D20" t="s">
        <v>19</v>
      </c>
      <c r="E20" t="s">
        <v>14</v>
      </c>
      <c r="F20" t="s">
        <v>890</v>
      </c>
      <c r="G20" t="s">
        <v>16</v>
      </c>
      <c r="H20">
        <v>11</v>
      </c>
      <c r="I20">
        <v>108.46</v>
      </c>
      <c r="J20">
        <v>15</v>
      </c>
      <c r="K20">
        <v>1014.1</v>
      </c>
    </row>
    <row r="21" spans="1:11" x14ac:dyDescent="0.25">
      <c r="A21" t="s">
        <v>74</v>
      </c>
      <c r="B21" t="s">
        <v>924</v>
      </c>
      <c r="C21" t="s">
        <v>75</v>
      </c>
      <c r="D21" t="s">
        <v>76</v>
      </c>
      <c r="E21" t="s">
        <v>925</v>
      </c>
      <c r="F21" t="s">
        <v>906</v>
      </c>
      <c r="G21" t="s">
        <v>43</v>
      </c>
      <c r="H21">
        <v>22</v>
      </c>
      <c r="I21">
        <v>292.97000000000003</v>
      </c>
      <c r="J21">
        <v>0</v>
      </c>
      <c r="K21">
        <v>6445.34</v>
      </c>
    </row>
    <row r="22" spans="1:11" x14ac:dyDescent="0.25">
      <c r="A22" t="s">
        <v>77</v>
      </c>
      <c r="B22" t="s">
        <v>926</v>
      </c>
      <c r="C22" t="s">
        <v>78</v>
      </c>
      <c r="D22" t="s">
        <v>39</v>
      </c>
      <c r="E22" t="s">
        <v>901</v>
      </c>
      <c r="F22" t="s">
        <v>927</v>
      </c>
      <c r="G22" t="s">
        <v>22</v>
      </c>
      <c r="H22">
        <v>32</v>
      </c>
      <c r="I22">
        <v>35.11</v>
      </c>
      <c r="J22">
        <v>15</v>
      </c>
      <c r="K22">
        <v>954.99</v>
      </c>
    </row>
    <row r="23" spans="1:11" x14ac:dyDescent="0.25">
      <c r="A23" t="s">
        <v>80</v>
      </c>
      <c r="B23" t="s">
        <v>928</v>
      </c>
      <c r="C23" t="s">
        <v>81</v>
      </c>
      <c r="D23" t="s">
        <v>76</v>
      </c>
      <c r="E23" t="s">
        <v>889</v>
      </c>
      <c r="F23" t="s">
        <v>929</v>
      </c>
      <c r="H23">
        <v>17</v>
      </c>
      <c r="I23">
        <v>1237.6400000000001</v>
      </c>
      <c r="J23">
        <v>0</v>
      </c>
      <c r="K23">
        <v>21039.88</v>
      </c>
    </row>
    <row r="24" spans="1:11" x14ac:dyDescent="0.25">
      <c r="A24" t="s">
        <v>83</v>
      </c>
      <c r="B24" t="s">
        <v>930</v>
      </c>
      <c r="C24" t="s">
        <v>84</v>
      </c>
      <c r="D24" t="s">
        <v>76</v>
      </c>
      <c r="E24" t="s">
        <v>905</v>
      </c>
      <c r="F24" t="s">
        <v>931</v>
      </c>
      <c r="G24" t="s">
        <v>43</v>
      </c>
      <c r="H24">
        <v>5</v>
      </c>
      <c r="I24">
        <v>1160.54</v>
      </c>
      <c r="J24">
        <v>15</v>
      </c>
      <c r="K24">
        <v>4932.3</v>
      </c>
    </row>
    <row r="25" spans="1:11" x14ac:dyDescent="0.25">
      <c r="A25" t="s">
        <v>85</v>
      </c>
      <c r="B25" t="s">
        <v>932</v>
      </c>
      <c r="C25" t="s">
        <v>86</v>
      </c>
      <c r="D25" t="s">
        <v>39</v>
      </c>
      <c r="E25" t="s">
        <v>913</v>
      </c>
      <c r="F25" t="s">
        <v>927</v>
      </c>
      <c r="G25" t="s">
        <v>22</v>
      </c>
      <c r="H25">
        <v>48</v>
      </c>
      <c r="I25">
        <v>32.01</v>
      </c>
      <c r="J25">
        <v>0</v>
      </c>
      <c r="K25">
        <v>1536.48</v>
      </c>
    </row>
    <row r="26" spans="1:11" x14ac:dyDescent="0.25">
      <c r="B26" t="s">
        <v>933</v>
      </c>
      <c r="C26" t="s">
        <v>49</v>
      </c>
      <c r="D26" t="s">
        <v>50</v>
      </c>
      <c r="E26" t="s">
        <v>892</v>
      </c>
      <c r="F26" t="s">
        <v>934</v>
      </c>
      <c r="G26" t="s">
        <v>22</v>
      </c>
      <c r="H26">
        <v>39</v>
      </c>
      <c r="I26">
        <v>38.46</v>
      </c>
      <c r="J26">
        <v>20</v>
      </c>
      <c r="K26">
        <v>1199.95</v>
      </c>
    </row>
    <row r="27" spans="1:11" x14ac:dyDescent="0.25">
      <c r="A27" t="s">
        <v>88</v>
      </c>
      <c r="B27" t="s">
        <v>935</v>
      </c>
      <c r="C27" t="s">
        <v>89</v>
      </c>
      <c r="D27" t="s">
        <v>25</v>
      </c>
      <c r="E27" t="s">
        <v>925</v>
      </c>
      <c r="F27" t="s">
        <v>893</v>
      </c>
      <c r="G27" t="s">
        <v>22</v>
      </c>
      <c r="H27">
        <v>40</v>
      </c>
      <c r="I27">
        <v>85.09</v>
      </c>
      <c r="J27">
        <v>0</v>
      </c>
      <c r="K27">
        <v>3403.6</v>
      </c>
    </row>
    <row r="28" spans="1:11" x14ac:dyDescent="0.25">
      <c r="A28" t="s">
        <v>90</v>
      </c>
      <c r="B28" t="s">
        <v>936</v>
      </c>
      <c r="C28" t="s">
        <v>91</v>
      </c>
      <c r="D28" t="s">
        <v>19</v>
      </c>
      <c r="E28" t="s">
        <v>915</v>
      </c>
      <c r="F28" t="s">
        <v>896</v>
      </c>
      <c r="G28" t="s">
        <v>28</v>
      </c>
      <c r="H28">
        <v>50</v>
      </c>
      <c r="I28">
        <v>136.04</v>
      </c>
      <c r="J28">
        <v>0</v>
      </c>
      <c r="K28">
        <v>6802</v>
      </c>
    </row>
    <row r="29" spans="1:11" x14ac:dyDescent="0.25">
      <c r="A29" t="s">
        <v>92</v>
      </c>
      <c r="B29" t="s">
        <v>937</v>
      </c>
      <c r="C29" t="s">
        <v>89</v>
      </c>
      <c r="D29" t="s">
        <v>25</v>
      </c>
      <c r="E29" t="s">
        <v>20</v>
      </c>
      <c r="F29" t="s">
        <v>903</v>
      </c>
      <c r="G29" t="s">
        <v>28</v>
      </c>
      <c r="H29">
        <v>30</v>
      </c>
      <c r="I29">
        <v>133.53</v>
      </c>
      <c r="J29">
        <v>5</v>
      </c>
      <c r="K29">
        <v>3805.6</v>
      </c>
    </row>
    <row r="30" spans="1:11" x14ac:dyDescent="0.25">
      <c r="A30" t="s">
        <v>93</v>
      </c>
      <c r="B30" t="s">
        <v>938</v>
      </c>
      <c r="C30" t="s">
        <v>94</v>
      </c>
      <c r="D30" t="s">
        <v>76</v>
      </c>
      <c r="E30" t="s">
        <v>925</v>
      </c>
      <c r="F30" t="s">
        <v>939</v>
      </c>
      <c r="G30" t="s">
        <v>43</v>
      </c>
      <c r="H30">
        <v>36</v>
      </c>
      <c r="I30">
        <v>1175.67</v>
      </c>
      <c r="J30">
        <v>10</v>
      </c>
      <c r="K30">
        <v>38091.71</v>
      </c>
    </row>
    <row r="31" spans="1:11" x14ac:dyDescent="0.25">
      <c r="A31" t="s">
        <v>95</v>
      </c>
      <c r="B31" t="s">
        <v>910</v>
      </c>
      <c r="C31" t="s">
        <v>96</v>
      </c>
      <c r="D31" t="s">
        <v>39</v>
      </c>
      <c r="E31" t="s">
        <v>940</v>
      </c>
      <c r="F31" t="s">
        <v>903</v>
      </c>
      <c r="H31">
        <v>13</v>
      </c>
      <c r="I31">
        <v>137.44</v>
      </c>
      <c r="J31">
        <v>15</v>
      </c>
      <c r="K31">
        <v>1518.71</v>
      </c>
    </row>
    <row r="32" spans="1:11" x14ac:dyDescent="0.25">
      <c r="A32" t="s">
        <v>97</v>
      </c>
      <c r="B32" t="s">
        <v>941</v>
      </c>
      <c r="C32" t="s">
        <v>98</v>
      </c>
      <c r="D32" t="s">
        <v>99</v>
      </c>
      <c r="E32" t="s">
        <v>942</v>
      </c>
      <c r="F32" t="s">
        <v>939</v>
      </c>
      <c r="G32" t="s">
        <v>43</v>
      </c>
      <c r="H32">
        <v>35</v>
      </c>
      <c r="I32">
        <v>1307.18</v>
      </c>
      <c r="K32">
        <v>38888.61</v>
      </c>
    </row>
    <row r="33" spans="1:11" x14ac:dyDescent="0.25">
      <c r="A33" t="s">
        <v>100</v>
      </c>
      <c r="B33" t="s">
        <v>943</v>
      </c>
      <c r="C33" t="s">
        <v>34</v>
      </c>
      <c r="D33" t="s">
        <v>35</v>
      </c>
      <c r="E33" t="s">
        <v>944</v>
      </c>
      <c r="F33" t="s">
        <v>945</v>
      </c>
      <c r="G33" t="s">
        <v>55</v>
      </c>
      <c r="H33">
        <v>38</v>
      </c>
      <c r="I33">
        <v>422.15</v>
      </c>
      <c r="J33">
        <v>15</v>
      </c>
      <c r="K33">
        <v>13635.44</v>
      </c>
    </row>
    <row r="34" spans="1:11" x14ac:dyDescent="0.25">
      <c r="A34" t="s">
        <v>101</v>
      </c>
      <c r="B34" t="s">
        <v>946</v>
      </c>
      <c r="C34" t="s">
        <v>102</v>
      </c>
      <c r="D34" t="s">
        <v>39</v>
      </c>
      <c r="E34" t="s">
        <v>940</v>
      </c>
      <c r="F34" t="s">
        <v>947</v>
      </c>
      <c r="G34" t="s">
        <v>22</v>
      </c>
      <c r="H34">
        <v>15</v>
      </c>
      <c r="I34">
        <v>47.07</v>
      </c>
      <c r="J34">
        <v>0</v>
      </c>
      <c r="K34">
        <v>706.05</v>
      </c>
    </row>
    <row r="35" spans="1:11" x14ac:dyDescent="0.25">
      <c r="A35" t="s">
        <v>103</v>
      </c>
      <c r="B35" t="s">
        <v>948</v>
      </c>
      <c r="C35" t="s">
        <v>104</v>
      </c>
      <c r="D35" t="s">
        <v>67</v>
      </c>
      <c r="E35" t="s">
        <v>895</v>
      </c>
      <c r="F35" t="s">
        <v>931</v>
      </c>
      <c r="G35" t="s">
        <v>43</v>
      </c>
      <c r="H35">
        <v>9</v>
      </c>
      <c r="I35">
        <v>1121.1099999999999</v>
      </c>
      <c r="J35">
        <v>0</v>
      </c>
      <c r="K35">
        <v>10089.99</v>
      </c>
    </row>
    <row r="36" spans="1:11" x14ac:dyDescent="0.25">
      <c r="A36" t="s">
        <v>105</v>
      </c>
      <c r="B36" t="s">
        <v>949</v>
      </c>
      <c r="C36" t="s">
        <v>86</v>
      </c>
      <c r="D36" t="s">
        <v>50</v>
      </c>
      <c r="E36" t="s">
        <v>944</v>
      </c>
      <c r="F36" t="s">
        <v>939</v>
      </c>
      <c r="G36" t="s">
        <v>43</v>
      </c>
      <c r="H36">
        <v>43</v>
      </c>
      <c r="I36">
        <v>1279.23</v>
      </c>
      <c r="J36">
        <v>0.1</v>
      </c>
      <c r="K36">
        <v>49506.2</v>
      </c>
    </row>
    <row r="37" spans="1:11" x14ac:dyDescent="0.25">
      <c r="A37" t="s">
        <v>106</v>
      </c>
      <c r="B37" t="s">
        <v>950</v>
      </c>
      <c r="C37" t="s">
        <v>107</v>
      </c>
      <c r="D37" t="s">
        <v>99</v>
      </c>
      <c r="E37" t="s">
        <v>905</v>
      </c>
      <c r="F37" t="s">
        <v>21</v>
      </c>
      <c r="G37" t="s">
        <v>22</v>
      </c>
      <c r="H37">
        <v>31</v>
      </c>
      <c r="I37">
        <v>86.72</v>
      </c>
      <c r="J37" t="s">
        <v>951</v>
      </c>
      <c r="K37">
        <v>2688.32</v>
      </c>
    </row>
    <row r="38" spans="1:11" x14ac:dyDescent="0.25">
      <c r="A38" t="s">
        <v>108</v>
      </c>
      <c r="B38" t="s">
        <v>952</v>
      </c>
      <c r="C38" t="s">
        <v>109</v>
      </c>
      <c r="D38" t="s">
        <v>50</v>
      </c>
      <c r="E38" t="s">
        <v>60</v>
      </c>
      <c r="F38" t="s">
        <v>929</v>
      </c>
      <c r="G38" t="s">
        <v>43</v>
      </c>
      <c r="H38">
        <v>45</v>
      </c>
      <c r="I38">
        <v>1084.69</v>
      </c>
      <c r="J38">
        <v>5</v>
      </c>
      <c r="K38">
        <v>46370.5</v>
      </c>
    </row>
    <row r="39" spans="1:11" x14ac:dyDescent="0.25">
      <c r="A39" t="s">
        <v>110</v>
      </c>
      <c r="B39" t="s">
        <v>953</v>
      </c>
      <c r="C39" t="s">
        <v>111</v>
      </c>
      <c r="D39" t="s">
        <v>19</v>
      </c>
      <c r="E39" t="s">
        <v>14</v>
      </c>
      <c r="F39" t="s">
        <v>893</v>
      </c>
      <c r="G39" t="s">
        <v>22</v>
      </c>
      <c r="H39">
        <v>7</v>
      </c>
      <c r="I39">
        <v>82.7</v>
      </c>
      <c r="J39">
        <v>0</v>
      </c>
      <c r="K39">
        <v>578.9</v>
      </c>
    </row>
    <row r="40" spans="1:11" x14ac:dyDescent="0.25">
      <c r="A40" t="s">
        <v>112</v>
      </c>
      <c r="B40" t="s">
        <v>954</v>
      </c>
      <c r="C40" t="s">
        <v>113</v>
      </c>
      <c r="D40" t="s">
        <v>39</v>
      </c>
      <c r="E40" t="s">
        <v>915</v>
      </c>
      <c r="F40" t="s">
        <v>906</v>
      </c>
      <c r="G40" t="s">
        <v>43</v>
      </c>
      <c r="H40">
        <v>29</v>
      </c>
      <c r="I40">
        <v>360.54</v>
      </c>
      <c r="J40">
        <v>20</v>
      </c>
      <c r="K40">
        <v>8364.5300000000007</v>
      </c>
    </row>
    <row r="41" spans="1:11" x14ac:dyDescent="0.25">
      <c r="A41" t="s">
        <v>114</v>
      </c>
      <c r="B41" t="s">
        <v>955</v>
      </c>
      <c r="C41" t="s">
        <v>115</v>
      </c>
      <c r="D41" t="s">
        <v>99</v>
      </c>
      <c r="E41" t="s">
        <v>956</v>
      </c>
      <c r="F41" t="s">
        <v>42</v>
      </c>
      <c r="G41" t="s">
        <v>43</v>
      </c>
      <c r="H41">
        <v>50</v>
      </c>
      <c r="I41">
        <v>299.25</v>
      </c>
      <c r="J41" t="s">
        <v>951</v>
      </c>
      <c r="K41">
        <v>14962.5</v>
      </c>
    </row>
    <row r="42" spans="1:11" x14ac:dyDescent="0.25">
      <c r="A42" t="s">
        <v>116</v>
      </c>
      <c r="B42" t="s">
        <v>957</v>
      </c>
      <c r="C42" t="s">
        <v>117</v>
      </c>
      <c r="D42" t="s">
        <v>25</v>
      </c>
      <c r="E42" t="s">
        <v>14</v>
      </c>
      <c r="F42" t="s">
        <v>21</v>
      </c>
      <c r="G42" t="s">
        <v>22</v>
      </c>
      <c r="H42">
        <v>29</v>
      </c>
      <c r="I42">
        <v>87.94</v>
      </c>
      <c r="J42">
        <v>10</v>
      </c>
      <c r="K42">
        <v>2295.23</v>
      </c>
    </row>
    <row r="43" spans="1:11" x14ac:dyDescent="0.25">
      <c r="A43" t="s">
        <v>118</v>
      </c>
      <c r="B43" t="s">
        <v>958</v>
      </c>
      <c r="C43" t="s">
        <v>119</v>
      </c>
      <c r="D43" t="s">
        <v>53</v>
      </c>
      <c r="E43" t="s">
        <v>905</v>
      </c>
      <c r="F43" t="s">
        <v>896</v>
      </c>
      <c r="G43" t="s">
        <v>28</v>
      </c>
      <c r="H43">
        <v>13</v>
      </c>
      <c r="I43">
        <v>111.03</v>
      </c>
      <c r="J43">
        <v>0</v>
      </c>
      <c r="K43">
        <v>1443.39</v>
      </c>
    </row>
    <row r="44" spans="1:11" x14ac:dyDescent="0.25">
      <c r="A44" t="s">
        <v>120</v>
      </c>
      <c r="B44" t="s">
        <v>959</v>
      </c>
      <c r="C44" t="s">
        <v>121</v>
      </c>
      <c r="E44" t="s">
        <v>895</v>
      </c>
      <c r="F44" t="s">
        <v>21</v>
      </c>
      <c r="G44" t="s">
        <v>22</v>
      </c>
      <c r="H44">
        <v>4</v>
      </c>
      <c r="I44">
        <v>76.5</v>
      </c>
      <c r="J44" t="s">
        <v>899</v>
      </c>
      <c r="K44">
        <v>290.7</v>
      </c>
    </row>
    <row r="45" spans="1:11" x14ac:dyDescent="0.25">
      <c r="A45" t="s">
        <v>122</v>
      </c>
      <c r="B45" t="s">
        <v>960</v>
      </c>
      <c r="C45" t="s">
        <v>123</v>
      </c>
      <c r="D45" t="s">
        <v>35</v>
      </c>
      <c r="E45" t="s">
        <v>889</v>
      </c>
      <c r="F45" t="s">
        <v>934</v>
      </c>
      <c r="G45" t="s">
        <v>22</v>
      </c>
      <c r="H45">
        <v>24</v>
      </c>
      <c r="I45">
        <v>32.99</v>
      </c>
      <c r="J45">
        <v>0</v>
      </c>
      <c r="K45">
        <v>791.76</v>
      </c>
    </row>
    <row r="46" spans="1:11" x14ac:dyDescent="0.25">
      <c r="A46" t="s">
        <v>124</v>
      </c>
      <c r="B46" t="s">
        <v>961</v>
      </c>
      <c r="C46" t="s">
        <v>125</v>
      </c>
      <c r="D46" t="s">
        <v>53</v>
      </c>
      <c r="E46" t="s">
        <v>944</v>
      </c>
      <c r="F46" t="s">
        <v>962</v>
      </c>
      <c r="G46" t="s">
        <v>43</v>
      </c>
      <c r="H46">
        <v>37</v>
      </c>
      <c r="I46">
        <v>365.32</v>
      </c>
      <c r="J46">
        <v>5</v>
      </c>
      <c r="K46">
        <v>12841</v>
      </c>
    </row>
    <row r="47" spans="1:11" x14ac:dyDescent="0.25">
      <c r="A47" t="s">
        <v>126</v>
      </c>
      <c r="B47" t="s">
        <v>963</v>
      </c>
      <c r="C47" t="s">
        <v>127</v>
      </c>
      <c r="D47" t="s">
        <v>53</v>
      </c>
      <c r="E47" t="s">
        <v>20</v>
      </c>
      <c r="F47" t="s">
        <v>903</v>
      </c>
      <c r="G47" t="s">
        <v>28</v>
      </c>
      <c r="H47">
        <v>-17</v>
      </c>
      <c r="I47">
        <v>129.75</v>
      </c>
      <c r="J47" t="s">
        <v>951</v>
      </c>
      <c r="K47">
        <v>2205.75</v>
      </c>
    </row>
    <row r="48" spans="1:11" x14ac:dyDescent="0.25">
      <c r="A48" t="s">
        <v>128</v>
      </c>
      <c r="B48" t="s">
        <v>964</v>
      </c>
      <c r="C48" t="s">
        <v>129</v>
      </c>
      <c r="D48" t="s">
        <v>67</v>
      </c>
      <c r="E48" t="s">
        <v>940</v>
      </c>
      <c r="F48" t="s">
        <v>32</v>
      </c>
      <c r="G48" t="s">
        <v>22</v>
      </c>
      <c r="H48">
        <v>34</v>
      </c>
      <c r="I48">
        <v>47.85</v>
      </c>
      <c r="J48" t="s">
        <v>951</v>
      </c>
      <c r="K48">
        <v>1626.9</v>
      </c>
    </row>
    <row r="49" spans="1:11" x14ac:dyDescent="0.25">
      <c r="A49" t="s">
        <v>130</v>
      </c>
      <c r="B49" t="s">
        <v>965</v>
      </c>
      <c r="C49" t="s">
        <v>131</v>
      </c>
      <c r="D49" t="s">
        <v>25</v>
      </c>
      <c r="E49" t="s">
        <v>20</v>
      </c>
      <c r="F49" t="s">
        <v>54</v>
      </c>
      <c r="G49" t="s">
        <v>55</v>
      </c>
      <c r="H49">
        <v>44</v>
      </c>
      <c r="I49">
        <v>502.17</v>
      </c>
      <c r="J49">
        <v>20</v>
      </c>
      <c r="K49">
        <v>17676.38</v>
      </c>
    </row>
    <row r="50" spans="1:11" x14ac:dyDescent="0.25">
      <c r="A50" t="s">
        <v>132</v>
      </c>
      <c r="B50" t="s">
        <v>966</v>
      </c>
      <c r="C50" t="s">
        <v>133</v>
      </c>
      <c r="D50" t="s">
        <v>76</v>
      </c>
      <c r="E50" t="s">
        <v>967</v>
      </c>
      <c r="F50" t="s">
        <v>947</v>
      </c>
      <c r="G50" t="s">
        <v>22</v>
      </c>
      <c r="H50">
        <v>10</v>
      </c>
      <c r="I50">
        <v>49.55</v>
      </c>
      <c r="J50">
        <v>0</v>
      </c>
      <c r="K50">
        <v>495.5</v>
      </c>
    </row>
    <row r="51" spans="1:11" x14ac:dyDescent="0.25">
      <c r="A51" t="s">
        <v>134</v>
      </c>
      <c r="B51" t="s">
        <v>968</v>
      </c>
      <c r="C51" t="s">
        <v>135</v>
      </c>
      <c r="D51" t="s">
        <v>53</v>
      </c>
      <c r="E51" t="s">
        <v>36</v>
      </c>
      <c r="F51" t="s">
        <v>969</v>
      </c>
      <c r="G51" t="s">
        <v>16</v>
      </c>
      <c r="H51">
        <v>19</v>
      </c>
      <c r="I51">
        <v>101.47</v>
      </c>
      <c r="J51">
        <v>0</v>
      </c>
      <c r="K51">
        <v>1927.93</v>
      </c>
    </row>
    <row r="52" spans="1:11" x14ac:dyDescent="0.25">
      <c r="A52" t="s">
        <v>136</v>
      </c>
      <c r="B52" t="s">
        <v>970</v>
      </c>
      <c r="C52" t="s">
        <v>137</v>
      </c>
      <c r="D52" t="s">
        <v>76</v>
      </c>
      <c r="E52" t="s">
        <v>956</v>
      </c>
      <c r="F52" t="s">
        <v>929</v>
      </c>
      <c r="G52" t="s">
        <v>43</v>
      </c>
      <c r="H52">
        <v>11</v>
      </c>
      <c r="I52">
        <v>1322.07</v>
      </c>
      <c r="J52">
        <v>0</v>
      </c>
      <c r="K52">
        <v>14542.77</v>
      </c>
    </row>
    <row r="53" spans="1:11" x14ac:dyDescent="0.25">
      <c r="A53" t="s">
        <v>138</v>
      </c>
      <c r="B53" t="s">
        <v>971</v>
      </c>
      <c r="C53" t="s">
        <v>139</v>
      </c>
      <c r="D53" t="s">
        <v>25</v>
      </c>
      <c r="E53" t="s">
        <v>913</v>
      </c>
      <c r="F53" t="s">
        <v>893</v>
      </c>
      <c r="G53" t="s">
        <v>22</v>
      </c>
      <c r="H53">
        <v>29</v>
      </c>
      <c r="I53">
        <v>87.09</v>
      </c>
      <c r="J53">
        <v>0</v>
      </c>
      <c r="K53">
        <v>2525.61</v>
      </c>
    </row>
    <row r="54" spans="1:11" x14ac:dyDescent="0.25">
      <c r="A54" t="s">
        <v>140</v>
      </c>
      <c r="B54" t="s">
        <v>972</v>
      </c>
      <c r="C54" t="s">
        <v>141</v>
      </c>
      <c r="D54" t="s">
        <v>35</v>
      </c>
      <c r="E54" t="s">
        <v>967</v>
      </c>
      <c r="F54" t="s">
        <v>79</v>
      </c>
      <c r="G54" t="s">
        <v>22</v>
      </c>
      <c r="H54">
        <v>30</v>
      </c>
      <c r="I54">
        <v>36.78</v>
      </c>
      <c r="J54">
        <v>0</v>
      </c>
      <c r="K54">
        <v>1103.4000000000001</v>
      </c>
    </row>
    <row r="55" spans="1:11" x14ac:dyDescent="0.25">
      <c r="A55" t="s">
        <v>142</v>
      </c>
      <c r="B55" t="s">
        <v>973</v>
      </c>
      <c r="C55" t="s">
        <v>143</v>
      </c>
      <c r="D55" t="s">
        <v>25</v>
      </c>
      <c r="E55" t="s">
        <v>974</v>
      </c>
      <c r="F55" t="s">
        <v>903</v>
      </c>
      <c r="G55" t="s">
        <v>28</v>
      </c>
      <c r="H55">
        <v>24</v>
      </c>
      <c r="I55" t="s">
        <v>975</v>
      </c>
      <c r="J55">
        <v>10</v>
      </c>
      <c r="K55">
        <v>2665.44</v>
      </c>
    </row>
    <row r="56" spans="1:11" x14ac:dyDescent="0.25">
      <c r="A56" t="s">
        <v>144</v>
      </c>
      <c r="B56" t="s">
        <v>976</v>
      </c>
      <c r="C56" t="s">
        <v>145</v>
      </c>
      <c r="D56" t="s">
        <v>50</v>
      </c>
      <c r="E56" t="s">
        <v>36</v>
      </c>
      <c r="F56" t="s">
        <v>903</v>
      </c>
      <c r="G56" t="s">
        <v>28</v>
      </c>
      <c r="H56">
        <v>4</v>
      </c>
      <c r="I56">
        <v>1254.9000000000001</v>
      </c>
      <c r="J56">
        <v>20</v>
      </c>
      <c r="K56">
        <v>401.57</v>
      </c>
    </row>
    <row r="57" spans="1:11" x14ac:dyDescent="0.25">
      <c r="A57" t="s">
        <v>146</v>
      </c>
      <c r="B57" t="s">
        <v>977</v>
      </c>
      <c r="C57" t="s">
        <v>147</v>
      </c>
      <c r="D57" t="s">
        <v>50</v>
      </c>
      <c r="E57" t="s">
        <v>905</v>
      </c>
      <c r="F57" t="s">
        <v>906</v>
      </c>
      <c r="G57" t="s">
        <v>43</v>
      </c>
      <c r="H57">
        <v>6</v>
      </c>
      <c r="I57">
        <v>305.38</v>
      </c>
      <c r="J57">
        <v>20</v>
      </c>
      <c r="K57">
        <v>1465.82</v>
      </c>
    </row>
    <row r="58" spans="1:11" x14ac:dyDescent="0.25">
      <c r="A58" t="s">
        <v>148</v>
      </c>
      <c r="B58" t="s">
        <v>978</v>
      </c>
      <c r="C58" t="s">
        <v>149</v>
      </c>
      <c r="D58" t="s">
        <v>67</v>
      </c>
      <c r="E58" t="s">
        <v>26</v>
      </c>
      <c r="F58" t="s">
        <v>945</v>
      </c>
      <c r="G58" t="s">
        <v>55</v>
      </c>
      <c r="H58">
        <v>9</v>
      </c>
      <c r="I58">
        <v>492.18</v>
      </c>
      <c r="J58">
        <v>0</v>
      </c>
      <c r="K58">
        <v>4429.62</v>
      </c>
    </row>
    <row r="59" spans="1:11" x14ac:dyDescent="0.25">
      <c r="A59" t="s">
        <v>150</v>
      </c>
      <c r="B59" t="s">
        <v>979</v>
      </c>
      <c r="C59" t="s">
        <v>151</v>
      </c>
      <c r="D59" t="s">
        <v>50</v>
      </c>
      <c r="E59" t="s">
        <v>942</v>
      </c>
      <c r="F59" t="s">
        <v>32</v>
      </c>
      <c r="G59" t="s">
        <v>22</v>
      </c>
      <c r="H59">
        <v>42</v>
      </c>
      <c r="I59">
        <v>42.4</v>
      </c>
      <c r="J59" t="s">
        <v>899</v>
      </c>
      <c r="K59">
        <v>1691.76</v>
      </c>
    </row>
    <row r="60" spans="1:11" x14ac:dyDescent="0.25">
      <c r="A60" t="s">
        <v>152</v>
      </c>
      <c r="B60" t="s">
        <v>980</v>
      </c>
      <c r="D60" t="s">
        <v>31</v>
      </c>
      <c r="E60" t="s">
        <v>967</v>
      </c>
      <c r="F60" t="s">
        <v>896</v>
      </c>
      <c r="G60" t="s">
        <v>28</v>
      </c>
      <c r="H60">
        <v>31</v>
      </c>
      <c r="I60" t="s">
        <v>981</v>
      </c>
      <c r="J60">
        <v>0</v>
      </c>
      <c r="K60">
        <v>3416.51</v>
      </c>
    </row>
    <row r="61" spans="1:11" x14ac:dyDescent="0.25">
      <c r="A61" t="s">
        <v>153</v>
      </c>
      <c r="B61" t="s">
        <v>982</v>
      </c>
      <c r="C61" t="s">
        <v>154</v>
      </c>
      <c r="D61" t="s">
        <v>25</v>
      </c>
      <c r="E61" t="s">
        <v>36</v>
      </c>
      <c r="F61" t="s">
        <v>983</v>
      </c>
      <c r="G61" t="s">
        <v>22</v>
      </c>
      <c r="H61">
        <v>21</v>
      </c>
      <c r="I61">
        <v>864.9</v>
      </c>
      <c r="J61">
        <v>0</v>
      </c>
      <c r="K61">
        <v>1816.29</v>
      </c>
    </row>
    <row r="62" spans="1:11" x14ac:dyDescent="0.25">
      <c r="A62" t="s">
        <v>155</v>
      </c>
      <c r="B62" t="s">
        <v>984</v>
      </c>
      <c r="C62" t="s">
        <v>156</v>
      </c>
      <c r="D62" t="s">
        <v>99</v>
      </c>
      <c r="E62" t="s">
        <v>60</v>
      </c>
      <c r="F62" t="s">
        <v>79</v>
      </c>
      <c r="G62" t="s">
        <v>22</v>
      </c>
      <c r="H62">
        <v>31</v>
      </c>
      <c r="I62">
        <v>31.65</v>
      </c>
      <c r="J62">
        <v>5</v>
      </c>
      <c r="K62">
        <v>932.09</v>
      </c>
    </row>
    <row r="63" spans="1:11" x14ac:dyDescent="0.25">
      <c r="A63" t="s">
        <v>157</v>
      </c>
      <c r="B63" t="s">
        <v>985</v>
      </c>
      <c r="C63" t="s">
        <v>158</v>
      </c>
      <c r="D63" t="s">
        <v>50</v>
      </c>
      <c r="E63" t="s">
        <v>986</v>
      </c>
      <c r="F63" t="s">
        <v>82</v>
      </c>
      <c r="G63" t="s">
        <v>43</v>
      </c>
      <c r="H63">
        <v>24</v>
      </c>
      <c r="I63">
        <v>1360.13</v>
      </c>
      <c r="J63" t="s">
        <v>987</v>
      </c>
      <c r="K63">
        <v>26114.5</v>
      </c>
    </row>
    <row r="64" spans="1:11" x14ac:dyDescent="0.25">
      <c r="A64" t="s">
        <v>159</v>
      </c>
      <c r="B64" t="s">
        <v>988</v>
      </c>
      <c r="C64" t="s">
        <v>160</v>
      </c>
      <c r="D64" t="s">
        <v>76</v>
      </c>
      <c r="E64" t="s">
        <v>967</v>
      </c>
      <c r="F64" t="s">
        <v>893</v>
      </c>
      <c r="G64" t="s">
        <v>22</v>
      </c>
      <c r="H64">
        <v>50</v>
      </c>
      <c r="I64" t="s">
        <v>989</v>
      </c>
      <c r="J64" t="s">
        <v>987</v>
      </c>
      <c r="K64">
        <v>3516</v>
      </c>
    </row>
    <row r="65" spans="1:11" x14ac:dyDescent="0.25">
      <c r="A65" t="s">
        <v>161</v>
      </c>
      <c r="B65" t="s">
        <v>990</v>
      </c>
      <c r="C65" t="s">
        <v>162</v>
      </c>
      <c r="D65" t="s">
        <v>31</v>
      </c>
      <c r="E65" t="s">
        <v>36</v>
      </c>
      <c r="F65" t="s">
        <v>947</v>
      </c>
      <c r="G65" t="s">
        <v>22</v>
      </c>
      <c r="H65">
        <v>35</v>
      </c>
      <c r="I65">
        <v>48.91</v>
      </c>
      <c r="J65">
        <v>0</v>
      </c>
      <c r="K65">
        <v>1711.85</v>
      </c>
    </row>
    <row r="66" spans="1:11" x14ac:dyDescent="0.25">
      <c r="A66" t="s">
        <v>163</v>
      </c>
      <c r="B66" t="s">
        <v>991</v>
      </c>
      <c r="C66" t="s">
        <v>164</v>
      </c>
      <c r="D66" t="s">
        <v>19</v>
      </c>
      <c r="E66" t="s">
        <v>60</v>
      </c>
      <c r="F66" t="s">
        <v>898</v>
      </c>
      <c r="G66" t="s">
        <v>22</v>
      </c>
      <c r="H66">
        <v>12</v>
      </c>
      <c r="I66">
        <v>46.56</v>
      </c>
      <c r="J66">
        <v>15</v>
      </c>
      <c r="K66">
        <v>474.91</v>
      </c>
    </row>
    <row r="67" spans="1:11" x14ac:dyDescent="0.25">
      <c r="A67" t="s">
        <v>165</v>
      </c>
      <c r="B67" t="s">
        <v>992</v>
      </c>
      <c r="C67" t="s">
        <v>166</v>
      </c>
      <c r="D67" t="s">
        <v>39</v>
      </c>
      <c r="E67" t="s">
        <v>925</v>
      </c>
      <c r="F67" t="s">
        <v>993</v>
      </c>
      <c r="G67" t="s">
        <v>43</v>
      </c>
      <c r="H67">
        <v>43</v>
      </c>
      <c r="I67">
        <v>327.94</v>
      </c>
      <c r="J67">
        <v>0.2</v>
      </c>
      <c r="K67">
        <v>11281.14</v>
      </c>
    </row>
    <row r="68" spans="1:11" x14ac:dyDescent="0.25">
      <c r="A68" t="s">
        <v>167</v>
      </c>
      <c r="B68" t="s">
        <v>994</v>
      </c>
      <c r="C68" t="s">
        <v>168</v>
      </c>
      <c r="D68" t="s">
        <v>99</v>
      </c>
      <c r="E68" t="s">
        <v>26</v>
      </c>
      <c r="F68" t="s">
        <v>54</v>
      </c>
      <c r="G68" t="s">
        <v>55</v>
      </c>
      <c r="H68">
        <v>9</v>
      </c>
      <c r="I68">
        <v>510.43</v>
      </c>
      <c r="J68" t="s">
        <v>951</v>
      </c>
      <c r="K68">
        <v>4593.87</v>
      </c>
    </row>
    <row r="69" spans="1:11" x14ac:dyDescent="0.25">
      <c r="A69" t="s">
        <v>169</v>
      </c>
      <c r="B69" t="s">
        <v>995</v>
      </c>
      <c r="C69" t="s">
        <v>170</v>
      </c>
      <c r="D69" t="s">
        <v>39</v>
      </c>
      <c r="E69" t="s">
        <v>967</v>
      </c>
      <c r="F69" t="s">
        <v>54</v>
      </c>
      <c r="G69" t="s">
        <v>55</v>
      </c>
      <c r="H69">
        <v>8</v>
      </c>
      <c r="I69">
        <v>477.37</v>
      </c>
      <c r="J69">
        <v>10</v>
      </c>
      <c r="K69">
        <v>3437.06</v>
      </c>
    </row>
    <row r="70" spans="1:11" x14ac:dyDescent="0.25">
      <c r="A70" t="s">
        <v>171</v>
      </c>
      <c r="B70" t="s">
        <v>996</v>
      </c>
      <c r="C70" t="s">
        <v>172</v>
      </c>
      <c r="D70" t="s">
        <v>67</v>
      </c>
      <c r="E70" t="s">
        <v>901</v>
      </c>
      <c r="F70" t="s">
        <v>969</v>
      </c>
      <c r="G70" t="s">
        <v>16</v>
      </c>
      <c r="H70">
        <v>37</v>
      </c>
      <c r="I70">
        <v>101.22</v>
      </c>
      <c r="J70">
        <v>0</v>
      </c>
      <c r="K70">
        <v>3745.14</v>
      </c>
    </row>
    <row r="71" spans="1:11" x14ac:dyDescent="0.25">
      <c r="A71" t="s">
        <v>173</v>
      </c>
      <c r="B71" t="s">
        <v>997</v>
      </c>
      <c r="C71" t="s">
        <v>174</v>
      </c>
      <c r="E71" t="s">
        <v>956</v>
      </c>
      <c r="F71" t="s">
        <v>931</v>
      </c>
      <c r="G71" t="s">
        <v>43</v>
      </c>
      <c r="H71">
        <v>9</v>
      </c>
      <c r="I71">
        <v>1376.73</v>
      </c>
      <c r="J71">
        <v>20</v>
      </c>
      <c r="K71">
        <v>9912.4599999999991</v>
      </c>
    </row>
    <row r="72" spans="1:11" x14ac:dyDescent="0.25">
      <c r="A72" t="s">
        <v>175</v>
      </c>
      <c r="B72" t="s">
        <v>998</v>
      </c>
      <c r="C72" t="s">
        <v>176</v>
      </c>
      <c r="D72" t="s">
        <v>19</v>
      </c>
      <c r="E72" t="s">
        <v>26</v>
      </c>
      <c r="F72" t="s">
        <v>903</v>
      </c>
      <c r="G72" t="s">
        <v>28</v>
      </c>
      <c r="H72">
        <v>11</v>
      </c>
      <c r="I72">
        <v>123.97</v>
      </c>
      <c r="K72">
        <v>1295.49</v>
      </c>
    </row>
    <row r="73" spans="1:11" x14ac:dyDescent="0.25">
      <c r="A73" t="s">
        <v>177</v>
      </c>
      <c r="B73" t="s">
        <v>999</v>
      </c>
      <c r="C73" t="s">
        <v>178</v>
      </c>
      <c r="D73" t="s">
        <v>19</v>
      </c>
      <c r="E73" t="s">
        <v>36</v>
      </c>
      <c r="F73" t="s">
        <v>903</v>
      </c>
      <c r="G73" t="s">
        <v>28</v>
      </c>
      <c r="H73">
        <v>36</v>
      </c>
      <c r="I73">
        <v>133.19</v>
      </c>
      <c r="J73">
        <v>20</v>
      </c>
      <c r="K73">
        <v>3835.87</v>
      </c>
    </row>
    <row r="74" spans="1:11" x14ac:dyDescent="0.25">
      <c r="A74" t="s">
        <v>179</v>
      </c>
      <c r="B74" t="s">
        <v>1000</v>
      </c>
      <c r="C74" t="s">
        <v>180</v>
      </c>
      <c r="D74" t="s">
        <v>35</v>
      </c>
      <c r="E74" t="s">
        <v>974</v>
      </c>
      <c r="F74" t="s">
        <v>1001</v>
      </c>
      <c r="G74" t="s">
        <v>22</v>
      </c>
      <c r="H74">
        <v>21</v>
      </c>
      <c r="I74">
        <v>38.29</v>
      </c>
      <c r="J74">
        <v>0</v>
      </c>
      <c r="K74">
        <v>804.09</v>
      </c>
    </row>
    <row r="75" spans="1:11" x14ac:dyDescent="0.25">
      <c r="A75" t="s">
        <v>181</v>
      </c>
      <c r="B75" t="s">
        <v>1002</v>
      </c>
      <c r="C75" t="s">
        <v>182</v>
      </c>
      <c r="D75" t="s">
        <v>39</v>
      </c>
      <c r="E75" t="s">
        <v>895</v>
      </c>
      <c r="F75" t="s">
        <v>898</v>
      </c>
      <c r="G75" t="s">
        <v>22</v>
      </c>
      <c r="H75">
        <v>42</v>
      </c>
      <c r="I75">
        <v>43.29</v>
      </c>
      <c r="J75">
        <v>10</v>
      </c>
      <c r="K75">
        <v>1636.36</v>
      </c>
    </row>
    <row r="76" spans="1:11" x14ac:dyDescent="0.25">
      <c r="A76" t="s">
        <v>183</v>
      </c>
      <c r="B76" t="s">
        <v>1003</v>
      </c>
      <c r="C76" t="s">
        <v>184</v>
      </c>
      <c r="D76" t="s">
        <v>19</v>
      </c>
      <c r="E76" t="s">
        <v>915</v>
      </c>
      <c r="F76" t="s">
        <v>21</v>
      </c>
      <c r="G76" t="s">
        <v>22</v>
      </c>
      <c r="H76">
        <v>34</v>
      </c>
      <c r="I76">
        <v>84.31</v>
      </c>
      <c r="J76" t="s">
        <v>951</v>
      </c>
      <c r="K76">
        <v>2866.54</v>
      </c>
    </row>
    <row r="77" spans="1:11" x14ac:dyDescent="0.25">
      <c r="A77" t="s">
        <v>185</v>
      </c>
      <c r="B77" t="s">
        <v>1004</v>
      </c>
      <c r="C77" t="s">
        <v>186</v>
      </c>
      <c r="D77" t="s">
        <v>53</v>
      </c>
      <c r="E77" t="s">
        <v>925</v>
      </c>
      <c r="F77" t="s">
        <v>21</v>
      </c>
      <c r="G77" t="s">
        <v>22</v>
      </c>
      <c r="H77">
        <v>39</v>
      </c>
      <c r="I77">
        <v>88.33</v>
      </c>
      <c r="J77">
        <v>0</v>
      </c>
      <c r="K77">
        <v>3444.87</v>
      </c>
    </row>
    <row r="78" spans="1:11" x14ac:dyDescent="0.25">
      <c r="A78" t="s">
        <v>187</v>
      </c>
      <c r="B78" t="s">
        <v>1005</v>
      </c>
      <c r="C78" t="s">
        <v>188</v>
      </c>
      <c r="D78" t="s">
        <v>19</v>
      </c>
      <c r="E78" t="s">
        <v>974</v>
      </c>
      <c r="F78" t="s">
        <v>993</v>
      </c>
      <c r="G78" t="s">
        <v>43</v>
      </c>
      <c r="H78">
        <v>50</v>
      </c>
      <c r="I78" t="s">
        <v>1006</v>
      </c>
      <c r="J78" t="s">
        <v>987</v>
      </c>
      <c r="K78">
        <v>14544.8</v>
      </c>
    </row>
    <row r="79" spans="1:11" x14ac:dyDescent="0.25">
      <c r="A79" t="s">
        <v>189</v>
      </c>
      <c r="B79" t="s">
        <v>1007</v>
      </c>
      <c r="C79" t="s">
        <v>190</v>
      </c>
      <c r="D79" t="s">
        <v>25</v>
      </c>
      <c r="E79" t="s">
        <v>889</v>
      </c>
      <c r="F79" t="s">
        <v>962</v>
      </c>
      <c r="G79" t="s">
        <v>43</v>
      </c>
      <c r="H79">
        <v>40</v>
      </c>
      <c r="I79">
        <v>334.21</v>
      </c>
      <c r="J79" t="s">
        <v>951</v>
      </c>
      <c r="K79">
        <v>13368.4</v>
      </c>
    </row>
    <row r="80" spans="1:11" x14ac:dyDescent="0.25">
      <c r="A80" t="s">
        <v>191</v>
      </c>
      <c r="B80" t="s">
        <v>1008</v>
      </c>
      <c r="C80" t="s">
        <v>192</v>
      </c>
      <c r="D80" t="s">
        <v>50</v>
      </c>
      <c r="E80" t="s">
        <v>967</v>
      </c>
      <c r="F80" t="s">
        <v>962</v>
      </c>
      <c r="G80" t="s">
        <v>43</v>
      </c>
      <c r="H80">
        <v>17</v>
      </c>
      <c r="I80">
        <v>310.05</v>
      </c>
      <c r="J80">
        <v>0</v>
      </c>
      <c r="K80">
        <v>5270.85</v>
      </c>
    </row>
    <row r="81" spans="1:11" x14ac:dyDescent="0.25">
      <c r="A81" t="s">
        <v>193</v>
      </c>
      <c r="B81" t="s">
        <v>1009</v>
      </c>
      <c r="C81" t="s">
        <v>194</v>
      </c>
      <c r="D81" t="s">
        <v>50</v>
      </c>
      <c r="E81" t="s">
        <v>967</v>
      </c>
      <c r="F81" t="s">
        <v>945</v>
      </c>
      <c r="G81" t="s">
        <v>55</v>
      </c>
      <c r="H81">
        <v>40</v>
      </c>
      <c r="I81">
        <v>461.86</v>
      </c>
      <c r="J81" t="s">
        <v>951</v>
      </c>
      <c r="K81">
        <v>18474.400000000001</v>
      </c>
    </row>
    <row r="82" spans="1:11" x14ac:dyDescent="0.25">
      <c r="A82" t="s">
        <v>195</v>
      </c>
      <c r="B82" t="s">
        <v>926</v>
      </c>
      <c r="C82" t="s">
        <v>196</v>
      </c>
      <c r="D82" t="s">
        <v>19</v>
      </c>
      <c r="E82" t="s">
        <v>915</v>
      </c>
      <c r="F82" t="s">
        <v>82</v>
      </c>
      <c r="G82" t="s">
        <v>43</v>
      </c>
      <c r="H82">
        <v>26</v>
      </c>
      <c r="I82">
        <v>1250.33</v>
      </c>
      <c r="J82">
        <v>5</v>
      </c>
      <c r="K82">
        <v>30883.15</v>
      </c>
    </row>
    <row r="83" spans="1:11" x14ac:dyDescent="0.25">
      <c r="A83" t="s">
        <v>197</v>
      </c>
      <c r="B83" t="s">
        <v>1010</v>
      </c>
      <c r="C83" t="s">
        <v>198</v>
      </c>
      <c r="D83" t="s">
        <v>19</v>
      </c>
      <c r="E83" t="s">
        <v>925</v>
      </c>
      <c r="F83" t="s">
        <v>934</v>
      </c>
      <c r="G83" t="s">
        <v>22</v>
      </c>
      <c r="H83">
        <v>13</v>
      </c>
      <c r="I83">
        <v>35.909999999999997</v>
      </c>
      <c r="J83">
        <v>0.1</v>
      </c>
      <c r="K83">
        <v>420.15</v>
      </c>
    </row>
    <row r="84" spans="1:11" x14ac:dyDescent="0.25">
      <c r="A84" t="s">
        <v>199</v>
      </c>
      <c r="B84" t="s">
        <v>1011</v>
      </c>
      <c r="C84" t="s">
        <v>200</v>
      </c>
      <c r="D84" t="s">
        <v>53</v>
      </c>
      <c r="E84" t="s">
        <v>956</v>
      </c>
      <c r="F84" t="s">
        <v>927</v>
      </c>
      <c r="G84" t="s">
        <v>22</v>
      </c>
      <c r="H84">
        <v>42</v>
      </c>
      <c r="I84">
        <v>31.58</v>
      </c>
      <c r="J84" t="s">
        <v>951</v>
      </c>
      <c r="K84">
        <v>1326.36</v>
      </c>
    </row>
    <row r="85" spans="1:11" x14ac:dyDescent="0.25">
      <c r="A85" t="s">
        <v>201</v>
      </c>
      <c r="B85" t="s">
        <v>1012</v>
      </c>
      <c r="C85" t="s">
        <v>202</v>
      </c>
      <c r="D85" t="s">
        <v>31</v>
      </c>
      <c r="E85" t="s">
        <v>895</v>
      </c>
      <c r="F85" t="s">
        <v>983</v>
      </c>
      <c r="G85" t="s">
        <v>22</v>
      </c>
      <c r="H85">
        <v>7</v>
      </c>
      <c r="I85">
        <v>82.98</v>
      </c>
      <c r="J85">
        <v>0.15</v>
      </c>
      <c r="K85">
        <v>493.73</v>
      </c>
    </row>
    <row r="86" spans="1:11" x14ac:dyDescent="0.25">
      <c r="A86" t="s">
        <v>203</v>
      </c>
      <c r="B86" t="s">
        <v>1013</v>
      </c>
      <c r="C86" t="s">
        <v>204</v>
      </c>
      <c r="D86" t="s">
        <v>67</v>
      </c>
      <c r="E86" t="s">
        <v>895</v>
      </c>
      <c r="F86" t="s">
        <v>947</v>
      </c>
      <c r="G86" t="s">
        <v>22</v>
      </c>
      <c r="H86">
        <v>26</v>
      </c>
      <c r="I86">
        <v>48.63</v>
      </c>
      <c r="J86">
        <v>0.05</v>
      </c>
      <c r="K86">
        <v>1201.1600000000001</v>
      </c>
    </row>
    <row r="87" spans="1:11" x14ac:dyDescent="0.25">
      <c r="A87" t="s">
        <v>205</v>
      </c>
      <c r="B87" t="s">
        <v>1014</v>
      </c>
      <c r="C87" t="s">
        <v>206</v>
      </c>
      <c r="D87" t="s">
        <v>31</v>
      </c>
      <c r="E87" t="s">
        <v>913</v>
      </c>
      <c r="F87" t="s">
        <v>54</v>
      </c>
      <c r="G87" t="s">
        <v>55</v>
      </c>
      <c r="H87">
        <v>4</v>
      </c>
      <c r="I87">
        <v>441.41</v>
      </c>
      <c r="J87" t="s">
        <v>951</v>
      </c>
      <c r="K87">
        <v>1765.64</v>
      </c>
    </row>
    <row r="88" spans="1:11" x14ac:dyDescent="0.25">
      <c r="A88" t="s">
        <v>207</v>
      </c>
      <c r="B88" t="s">
        <v>1015</v>
      </c>
      <c r="C88" t="s">
        <v>208</v>
      </c>
      <c r="D88" t="s">
        <v>31</v>
      </c>
      <c r="E88" t="s">
        <v>60</v>
      </c>
      <c r="F88" t="s">
        <v>15</v>
      </c>
      <c r="G88" t="s">
        <v>16</v>
      </c>
      <c r="H88">
        <v>29</v>
      </c>
      <c r="I88">
        <v>101.66</v>
      </c>
      <c r="J88" t="s">
        <v>918</v>
      </c>
      <c r="K88">
        <v>2505.92</v>
      </c>
    </row>
    <row r="89" spans="1:11" x14ac:dyDescent="0.25">
      <c r="A89" t="s">
        <v>209</v>
      </c>
      <c r="B89" t="s">
        <v>1016</v>
      </c>
      <c r="C89" t="s">
        <v>210</v>
      </c>
      <c r="D89" t="s">
        <v>39</v>
      </c>
      <c r="E89" t="s">
        <v>944</v>
      </c>
      <c r="F89" t="s">
        <v>903</v>
      </c>
      <c r="G89" t="s">
        <v>28</v>
      </c>
      <c r="H89">
        <v>27</v>
      </c>
      <c r="I89">
        <v>133.4</v>
      </c>
      <c r="J89">
        <v>5</v>
      </c>
      <c r="K89">
        <v>3421.71</v>
      </c>
    </row>
    <row r="90" spans="1:11" x14ac:dyDescent="0.25">
      <c r="A90" t="s">
        <v>211</v>
      </c>
      <c r="B90" t="s">
        <v>1017</v>
      </c>
      <c r="C90" t="s">
        <v>212</v>
      </c>
      <c r="D90" t="s">
        <v>39</v>
      </c>
      <c r="E90" t="s">
        <v>895</v>
      </c>
      <c r="F90" t="s">
        <v>903</v>
      </c>
      <c r="G90" t="s">
        <v>28</v>
      </c>
      <c r="H90">
        <v>14</v>
      </c>
      <c r="I90">
        <v>117.38</v>
      </c>
      <c r="J90">
        <v>10</v>
      </c>
      <c r="K90">
        <v>1478.99</v>
      </c>
    </row>
    <row r="91" spans="1:11" x14ac:dyDescent="0.25">
      <c r="A91" t="s">
        <v>213</v>
      </c>
      <c r="B91" t="s">
        <v>1018</v>
      </c>
      <c r="C91" t="s">
        <v>111</v>
      </c>
      <c r="D91" t="s">
        <v>53</v>
      </c>
      <c r="E91" t="s">
        <v>60</v>
      </c>
      <c r="F91" t="s">
        <v>896</v>
      </c>
      <c r="G91" t="s">
        <v>28</v>
      </c>
      <c r="H91">
        <v>50</v>
      </c>
      <c r="I91">
        <v>137.25</v>
      </c>
      <c r="J91">
        <v>0</v>
      </c>
      <c r="K91">
        <v>6862.5</v>
      </c>
    </row>
    <row r="92" spans="1:11" x14ac:dyDescent="0.25">
      <c r="A92" t="s">
        <v>214</v>
      </c>
      <c r="B92" t="s">
        <v>1019</v>
      </c>
      <c r="C92" t="s">
        <v>215</v>
      </c>
      <c r="D92" t="s">
        <v>39</v>
      </c>
      <c r="E92" t="s">
        <v>26</v>
      </c>
      <c r="F92" t="s">
        <v>993</v>
      </c>
      <c r="G92" t="s">
        <v>43</v>
      </c>
      <c r="H92">
        <v>20</v>
      </c>
      <c r="I92">
        <v>313.64999999999998</v>
      </c>
      <c r="J92">
        <v>20</v>
      </c>
      <c r="K92">
        <v>5018.3999999999996</v>
      </c>
    </row>
    <row r="93" spans="1:11" x14ac:dyDescent="0.25">
      <c r="A93" t="s">
        <v>216</v>
      </c>
      <c r="B93" t="s">
        <v>1020</v>
      </c>
      <c r="C93" t="s">
        <v>217</v>
      </c>
      <c r="D93" t="s">
        <v>39</v>
      </c>
      <c r="E93" t="s">
        <v>26</v>
      </c>
      <c r="F93" t="s">
        <v>947</v>
      </c>
      <c r="G93" t="s">
        <v>22</v>
      </c>
      <c r="H93">
        <v>28</v>
      </c>
      <c r="I93">
        <v>43.82</v>
      </c>
      <c r="J93">
        <v>0</v>
      </c>
      <c r="K93">
        <v>1226.96</v>
      </c>
    </row>
    <row r="94" spans="1:11" x14ac:dyDescent="0.25">
      <c r="A94" t="s">
        <v>218</v>
      </c>
      <c r="B94" t="s">
        <v>1021</v>
      </c>
      <c r="C94" t="s">
        <v>219</v>
      </c>
      <c r="D94" t="s">
        <v>39</v>
      </c>
      <c r="E94" t="s">
        <v>26</v>
      </c>
      <c r="F94" t="s">
        <v>54</v>
      </c>
      <c r="G94" t="s">
        <v>55</v>
      </c>
      <c r="H94">
        <v>12</v>
      </c>
      <c r="I94">
        <v>422.23</v>
      </c>
      <c r="J94">
        <v>20</v>
      </c>
      <c r="K94">
        <v>4053.41</v>
      </c>
    </row>
    <row r="95" spans="1:11" x14ac:dyDescent="0.25">
      <c r="A95" t="s">
        <v>220</v>
      </c>
      <c r="B95" t="s">
        <v>1022</v>
      </c>
      <c r="C95" t="s">
        <v>221</v>
      </c>
      <c r="D95" t="s">
        <v>31</v>
      </c>
      <c r="E95" t="s">
        <v>905</v>
      </c>
      <c r="F95" t="s">
        <v>893</v>
      </c>
      <c r="G95" t="s">
        <v>22</v>
      </c>
      <c r="H95">
        <v>5</v>
      </c>
      <c r="I95">
        <v>73.28</v>
      </c>
      <c r="J95">
        <v>0</v>
      </c>
      <c r="K95">
        <v>366.4</v>
      </c>
    </row>
    <row r="96" spans="1:11" x14ac:dyDescent="0.25">
      <c r="A96" t="s">
        <v>222</v>
      </c>
      <c r="B96" t="s">
        <v>988</v>
      </c>
      <c r="C96" t="s">
        <v>223</v>
      </c>
      <c r="D96" t="s">
        <v>25</v>
      </c>
      <c r="E96" t="s">
        <v>895</v>
      </c>
      <c r="F96" t="s">
        <v>54</v>
      </c>
      <c r="G96" t="s">
        <v>55</v>
      </c>
      <c r="H96">
        <v>36</v>
      </c>
      <c r="I96">
        <v>441.9</v>
      </c>
      <c r="J96">
        <v>0</v>
      </c>
      <c r="K96">
        <v>15908.4</v>
      </c>
    </row>
    <row r="97" spans="1:11" x14ac:dyDescent="0.25">
      <c r="A97" t="s">
        <v>224</v>
      </c>
      <c r="B97" t="s">
        <v>920</v>
      </c>
      <c r="D97" t="s">
        <v>31</v>
      </c>
      <c r="E97" t="s">
        <v>901</v>
      </c>
      <c r="F97" t="s">
        <v>890</v>
      </c>
      <c r="G97" t="s">
        <v>16</v>
      </c>
      <c r="H97">
        <v>37</v>
      </c>
      <c r="I97">
        <v>86.3</v>
      </c>
      <c r="J97">
        <v>20</v>
      </c>
      <c r="K97">
        <v>2554.48</v>
      </c>
    </row>
    <row r="98" spans="1:11" x14ac:dyDescent="0.25">
      <c r="A98" t="s">
        <v>225</v>
      </c>
      <c r="B98" t="s">
        <v>1023</v>
      </c>
      <c r="C98" t="s">
        <v>226</v>
      </c>
      <c r="D98" t="s">
        <v>35</v>
      </c>
      <c r="E98" t="s">
        <v>26</v>
      </c>
      <c r="F98" t="s">
        <v>945</v>
      </c>
      <c r="G98" t="s">
        <v>55</v>
      </c>
      <c r="H98">
        <v>50</v>
      </c>
      <c r="I98">
        <v>427.88</v>
      </c>
      <c r="J98" t="s">
        <v>918</v>
      </c>
      <c r="K98">
        <v>18184.900000000001</v>
      </c>
    </row>
    <row r="99" spans="1:11" x14ac:dyDescent="0.25">
      <c r="A99" t="s">
        <v>227</v>
      </c>
      <c r="B99" t="s">
        <v>1024</v>
      </c>
      <c r="C99" t="s">
        <v>228</v>
      </c>
      <c r="D99" t="s">
        <v>50</v>
      </c>
      <c r="E99" t="s">
        <v>925</v>
      </c>
      <c r="F99" t="s">
        <v>993</v>
      </c>
      <c r="G99" t="s">
        <v>43</v>
      </c>
      <c r="H99">
        <v>50</v>
      </c>
      <c r="I99">
        <v>332.71</v>
      </c>
      <c r="J99" t="s">
        <v>1025</v>
      </c>
      <c r="K99">
        <v>14971.95</v>
      </c>
    </row>
    <row r="100" spans="1:11" x14ac:dyDescent="0.25">
      <c r="A100" t="s">
        <v>229</v>
      </c>
      <c r="B100" t="s">
        <v>1026</v>
      </c>
      <c r="C100" t="s">
        <v>38</v>
      </c>
      <c r="D100" t="s">
        <v>35</v>
      </c>
      <c r="E100" t="s">
        <v>944</v>
      </c>
      <c r="F100" t="s">
        <v>21</v>
      </c>
      <c r="G100" t="s">
        <v>22</v>
      </c>
      <c r="H100">
        <v>42</v>
      </c>
      <c r="I100">
        <v>90.73</v>
      </c>
      <c r="J100">
        <v>0</v>
      </c>
      <c r="K100">
        <v>3810.66</v>
      </c>
    </row>
    <row r="101" spans="1:11" x14ac:dyDescent="0.25">
      <c r="A101" t="s">
        <v>230</v>
      </c>
      <c r="B101" t="s">
        <v>1027</v>
      </c>
      <c r="C101" t="s">
        <v>231</v>
      </c>
      <c r="D101" t="s">
        <v>76</v>
      </c>
      <c r="E101" t="s">
        <v>26</v>
      </c>
      <c r="F101" t="s">
        <v>79</v>
      </c>
      <c r="G101" t="s">
        <v>22</v>
      </c>
      <c r="H101">
        <v>6</v>
      </c>
      <c r="I101">
        <v>34.44</v>
      </c>
      <c r="J101" t="s">
        <v>987</v>
      </c>
      <c r="K101">
        <v>165.31</v>
      </c>
    </row>
    <row r="102" spans="1:11" x14ac:dyDescent="0.25">
      <c r="A102" t="s">
        <v>232</v>
      </c>
      <c r="B102" t="s">
        <v>1028</v>
      </c>
      <c r="C102" t="s">
        <v>233</v>
      </c>
      <c r="D102" t="s">
        <v>50</v>
      </c>
      <c r="E102" t="s">
        <v>944</v>
      </c>
      <c r="F102" t="s">
        <v>54</v>
      </c>
      <c r="G102" t="s">
        <v>55</v>
      </c>
      <c r="H102">
        <v>49</v>
      </c>
      <c r="I102">
        <v>498.04</v>
      </c>
      <c r="J102" t="s">
        <v>951</v>
      </c>
      <c r="K102">
        <v>24403.96</v>
      </c>
    </row>
    <row r="103" spans="1:11" x14ac:dyDescent="0.25">
      <c r="A103" t="s">
        <v>234</v>
      </c>
      <c r="B103" t="s">
        <v>1029</v>
      </c>
      <c r="C103" t="s">
        <v>235</v>
      </c>
      <c r="D103" t="s">
        <v>53</v>
      </c>
      <c r="E103" t="s">
        <v>889</v>
      </c>
      <c r="F103" t="s">
        <v>898</v>
      </c>
      <c r="G103" t="s">
        <v>22</v>
      </c>
      <c r="H103">
        <v>10</v>
      </c>
      <c r="I103">
        <v>46.29</v>
      </c>
      <c r="J103">
        <v>0</v>
      </c>
      <c r="K103">
        <v>462.9</v>
      </c>
    </row>
    <row r="104" spans="1:11" x14ac:dyDescent="0.25">
      <c r="A104" t="s">
        <v>236</v>
      </c>
      <c r="B104" t="s">
        <v>1030</v>
      </c>
      <c r="C104" t="s">
        <v>237</v>
      </c>
      <c r="D104" t="s">
        <v>25</v>
      </c>
      <c r="E104" t="s">
        <v>26</v>
      </c>
      <c r="F104" t="s">
        <v>896</v>
      </c>
      <c r="G104" t="s">
        <v>28</v>
      </c>
      <c r="H104">
        <v>33</v>
      </c>
      <c r="I104">
        <v>136.04</v>
      </c>
      <c r="J104">
        <v>0</v>
      </c>
      <c r="K104">
        <v>4489.32</v>
      </c>
    </row>
    <row r="105" spans="1:11" x14ac:dyDescent="0.25">
      <c r="A105" t="s">
        <v>238</v>
      </c>
      <c r="B105" t="s">
        <v>1031</v>
      </c>
      <c r="C105" t="s">
        <v>239</v>
      </c>
      <c r="D105" t="s">
        <v>67</v>
      </c>
      <c r="E105" t="s">
        <v>20</v>
      </c>
      <c r="F105" t="s">
        <v>945</v>
      </c>
      <c r="G105" t="s">
        <v>55</v>
      </c>
      <c r="H105">
        <v>35</v>
      </c>
      <c r="I105">
        <v>449.66</v>
      </c>
      <c r="J105">
        <v>0</v>
      </c>
      <c r="K105">
        <v>15738.1</v>
      </c>
    </row>
    <row r="106" spans="1:11" x14ac:dyDescent="0.25">
      <c r="A106" t="s">
        <v>240</v>
      </c>
      <c r="B106" t="s">
        <v>928</v>
      </c>
      <c r="C106" t="s">
        <v>69</v>
      </c>
      <c r="D106" t="s">
        <v>67</v>
      </c>
      <c r="E106" t="s">
        <v>905</v>
      </c>
      <c r="F106" t="s">
        <v>893</v>
      </c>
      <c r="G106" t="s">
        <v>22</v>
      </c>
      <c r="H106">
        <v>40</v>
      </c>
      <c r="I106">
        <v>74.760000000000005</v>
      </c>
      <c r="J106">
        <v>20</v>
      </c>
      <c r="K106">
        <v>2392.3200000000002</v>
      </c>
    </row>
    <row r="107" spans="1:11" x14ac:dyDescent="0.25">
      <c r="A107" t="s">
        <v>241</v>
      </c>
      <c r="B107" t="s">
        <v>1032</v>
      </c>
      <c r="C107" t="s">
        <v>242</v>
      </c>
      <c r="E107" t="s">
        <v>925</v>
      </c>
      <c r="F107" t="s">
        <v>903</v>
      </c>
      <c r="G107" t="s">
        <v>28</v>
      </c>
      <c r="H107">
        <v>24</v>
      </c>
      <c r="I107">
        <v>123.47</v>
      </c>
      <c r="J107">
        <v>0</v>
      </c>
      <c r="K107">
        <v>2963.28</v>
      </c>
    </row>
    <row r="108" spans="1:11" x14ac:dyDescent="0.25">
      <c r="A108" t="s">
        <v>243</v>
      </c>
      <c r="B108" t="s">
        <v>1033</v>
      </c>
      <c r="C108" t="s">
        <v>244</v>
      </c>
      <c r="D108" t="s">
        <v>50</v>
      </c>
      <c r="E108" t="s">
        <v>60</v>
      </c>
      <c r="F108" t="s">
        <v>898</v>
      </c>
      <c r="G108" t="s">
        <v>22</v>
      </c>
      <c r="H108">
        <v>47</v>
      </c>
      <c r="I108">
        <v>48.2</v>
      </c>
      <c r="J108">
        <v>15</v>
      </c>
      <c r="K108">
        <v>1925.59</v>
      </c>
    </row>
    <row r="109" spans="1:11" x14ac:dyDescent="0.25">
      <c r="A109" t="s">
        <v>245</v>
      </c>
      <c r="B109" t="s">
        <v>1034</v>
      </c>
      <c r="C109" t="s">
        <v>115</v>
      </c>
      <c r="D109" t="s">
        <v>50</v>
      </c>
      <c r="E109" t="s">
        <v>956</v>
      </c>
      <c r="F109" t="s">
        <v>898</v>
      </c>
      <c r="G109" t="s">
        <v>22</v>
      </c>
      <c r="H109">
        <v>40</v>
      </c>
      <c r="I109">
        <v>44.4</v>
      </c>
      <c r="J109" t="s">
        <v>951</v>
      </c>
      <c r="K109">
        <v>1776</v>
      </c>
    </row>
    <row r="110" spans="1:11" x14ac:dyDescent="0.25">
      <c r="A110" t="s">
        <v>246</v>
      </c>
      <c r="B110" t="s">
        <v>1035</v>
      </c>
      <c r="C110" t="s">
        <v>202</v>
      </c>
      <c r="D110" t="s">
        <v>67</v>
      </c>
      <c r="E110" t="s">
        <v>892</v>
      </c>
      <c r="F110" t="s">
        <v>79</v>
      </c>
      <c r="G110" t="s">
        <v>22</v>
      </c>
      <c r="H110">
        <v>18</v>
      </c>
      <c r="I110">
        <v>34.22</v>
      </c>
      <c r="J110">
        <v>15</v>
      </c>
      <c r="K110">
        <v>523.57000000000005</v>
      </c>
    </row>
    <row r="111" spans="1:11" x14ac:dyDescent="0.25">
      <c r="A111" t="s">
        <v>247</v>
      </c>
      <c r="B111" t="s">
        <v>1036</v>
      </c>
      <c r="C111" t="s">
        <v>248</v>
      </c>
      <c r="D111" t="s">
        <v>99</v>
      </c>
      <c r="E111" t="s">
        <v>60</v>
      </c>
      <c r="F111" t="s">
        <v>962</v>
      </c>
      <c r="G111" t="s">
        <v>43</v>
      </c>
      <c r="H111">
        <v>20</v>
      </c>
      <c r="I111">
        <v>332.26</v>
      </c>
      <c r="J111">
        <v>0</v>
      </c>
      <c r="K111">
        <v>6645.2</v>
      </c>
    </row>
    <row r="112" spans="1:11" x14ac:dyDescent="0.25">
      <c r="A112" t="s">
        <v>249</v>
      </c>
      <c r="B112" t="s">
        <v>904</v>
      </c>
      <c r="C112" t="s">
        <v>250</v>
      </c>
      <c r="D112" t="s">
        <v>76</v>
      </c>
      <c r="E112" t="s">
        <v>889</v>
      </c>
      <c r="F112" t="s">
        <v>27</v>
      </c>
      <c r="G112" t="s">
        <v>28</v>
      </c>
      <c r="H112">
        <v>8</v>
      </c>
      <c r="I112">
        <v>126.78</v>
      </c>
      <c r="J112">
        <v>5</v>
      </c>
      <c r="K112">
        <v>874.43</v>
      </c>
    </row>
    <row r="113" spans="1:11" x14ac:dyDescent="0.25">
      <c r="A113" t="s">
        <v>251</v>
      </c>
      <c r="B113" t="s">
        <v>1037</v>
      </c>
      <c r="C113" t="s">
        <v>252</v>
      </c>
      <c r="D113" t="s">
        <v>25</v>
      </c>
      <c r="E113" t="s">
        <v>895</v>
      </c>
      <c r="F113" t="s">
        <v>983</v>
      </c>
      <c r="G113" t="s">
        <v>22</v>
      </c>
      <c r="H113">
        <v>33</v>
      </c>
      <c r="I113">
        <v>81.14</v>
      </c>
      <c r="J113">
        <v>0</v>
      </c>
      <c r="K113">
        <v>2677.62</v>
      </c>
    </row>
    <row r="114" spans="1:11" x14ac:dyDescent="0.25">
      <c r="A114" t="s">
        <v>253</v>
      </c>
      <c r="B114" t="s">
        <v>1038</v>
      </c>
      <c r="C114" t="s">
        <v>254</v>
      </c>
      <c r="D114" t="s">
        <v>25</v>
      </c>
      <c r="E114" t="s">
        <v>915</v>
      </c>
      <c r="F114" t="s">
        <v>939</v>
      </c>
      <c r="G114" t="s">
        <v>43</v>
      </c>
      <c r="H114">
        <v>50</v>
      </c>
      <c r="I114">
        <v>1109.04</v>
      </c>
      <c r="J114">
        <v>0</v>
      </c>
      <c r="K114">
        <v>55452</v>
      </c>
    </row>
    <row r="115" spans="1:11" x14ac:dyDescent="0.25">
      <c r="A115" t="s">
        <v>255</v>
      </c>
      <c r="B115" t="s">
        <v>1039</v>
      </c>
      <c r="C115" t="s">
        <v>186</v>
      </c>
      <c r="D115" t="s">
        <v>50</v>
      </c>
      <c r="E115" t="s">
        <v>913</v>
      </c>
      <c r="F115" t="s">
        <v>962</v>
      </c>
      <c r="G115" t="s">
        <v>43</v>
      </c>
      <c r="H115">
        <v>42</v>
      </c>
      <c r="I115">
        <v>330.31</v>
      </c>
      <c r="J115">
        <v>10</v>
      </c>
      <c r="K115">
        <v>12485.72</v>
      </c>
    </row>
    <row r="116" spans="1:11" x14ac:dyDescent="0.25">
      <c r="A116" t="s">
        <v>256</v>
      </c>
      <c r="B116" t="s">
        <v>1040</v>
      </c>
      <c r="C116" t="s">
        <v>257</v>
      </c>
      <c r="D116" t="s">
        <v>76</v>
      </c>
      <c r="E116" t="s">
        <v>889</v>
      </c>
      <c r="F116" t="s">
        <v>983</v>
      </c>
      <c r="G116" t="s">
        <v>22</v>
      </c>
      <c r="H116">
        <v>13</v>
      </c>
      <c r="I116">
        <v>74.25</v>
      </c>
      <c r="J116">
        <v>10</v>
      </c>
      <c r="K116">
        <v>868.72</v>
      </c>
    </row>
    <row r="117" spans="1:11" x14ac:dyDescent="0.25">
      <c r="A117" t="s">
        <v>258</v>
      </c>
      <c r="B117" t="s">
        <v>1041</v>
      </c>
      <c r="C117" t="s">
        <v>127</v>
      </c>
      <c r="D117" t="s">
        <v>76</v>
      </c>
      <c r="E117" t="s">
        <v>940</v>
      </c>
      <c r="F117" t="s">
        <v>893</v>
      </c>
      <c r="G117" t="s">
        <v>22</v>
      </c>
      <c r="H117">
        <v>45</v>
      </c>
      <c r="I117">
        <v>80.209999999999994</v>
      </c>
      <c r="J117">
        <v>5</v>
      </c>
      <c r="K117">
        <v>3428.98</v>
      </c>
    </row>
    <row r="118" spans="1:11" x14ac:dyDescent="0.25">
      <c r="A118" t="s">
        <v>259</v>
      </c>
      <c r="B118" t="s">
        <v>1042</v>
      </c>
      <c r="C118" t="s">
        <v>64</v>
      </c>
      <c r="D118" t="s">
        <v>67</v>
      </c>
      <c r="E118" t="s">
        <v>913</v>
      </c>
      <c r="F118" t="s">
        <v>890</v>
      </c>
      <c r="G118" t="s">
        <v>16</v>
      </c>
      <c r="H118">
        <v>8</v>
      </c>
      <c r="I118">
        <v>93.78</v>
      </c>
      <c r="J118">
        <v>15</v>
      </c>
      <c r="K118">
        <v>637.70000000000005</v>
      </c>
    </row>
    <row r="119" spans="1:11" x14ac:dyDescent="0.25">
      <c r="A119" t="s">
        <v>260</v>
      </c>
      <c r="B119" t="s">
        <v>1043</v>
      </c>
      <c r="C119" t="s">
        <v>261</v>
      </c>
      <c r="D119" t="s">
        <v>99</v>
      </c>
      <c r="E119" t="s">
        <v>913</v>
      </c>
      <c r="F119" t="s">
        <v>947</v>
      </c>
      <c r="G119" t="s">
        <v>22</v>
      </c>
      <c r="H119">
        <v>22</v>
      </c>
      <c r="I119">
        <v>48.58</v>
      </c>
      <c r="J119">
        <v>0</v>
      </c>
      <c r="K119">
        <v>1068.76</v>
      </c>
    </row>
    <row r="120" spans="1:11" x14ac:dyDescent="0.25">
      <c r="A120" t="s">
        <v>262</v>
      </c>
      <c r="B120" t="s">
        <v>1044</v>
      </c>
      <c r="C120" t="s">
        <v>263</v>
      </c>
      <c r="D120" t="s">
        <v>67</v>
      </c>
      <c r="E120" t="s">
        <v>36</v>
      </c>
      <c r="F120" t="s">
        <v>983</v>
      </c>
      <c r="G120" t="s">
        <v>22</v>
      </c>
      <c r="H120">
        <v>2</v>
      </c>
      <c r="I120">
        <v>85.43</v>
      </c>
      <c r="J120">
        <v>0</v>
      </c>
      <c r="K120">
        <v>170.86</v>
      </c>
    </row>
    <row r="121" spans="1:11" x14ac:dyDescent="0.25">
      <c r="A121" t="s">
        <v>264</v>
      </c>
      <c r="B121" t="s">
        <v>1045</v>
      </c>
      <c r="C121" t="s">
        <v>265</v>
      </c>
      <c r="E121" t="s">
        <v>36</v>
      </c>
      <c r="F121" t="s">
        <v>911</v>
      </c>
      <c r="G121" t="s">
        <v>55</v>
      </c>
      <c r="H121">
        <v>19</v>
      </c>
      <c r="I121">
        <v>449.31</v>
      </c>
      <c r="J121">
        <v>0</v>
      </c>
      <c r="K121">
        <v>8536.89</v>
      </c>
    </row>
    <row r="122" spans="1:11" x14ac:dyDescent="0.25">
      <c r="A122" t="s">
        <v>266</v>
      </c>
      <c r="B122" t="s">
        <v>1046</v>
      </c>
      <c r="C122" t="s">
        <v>267</v>
      </c>
      <c r="D122" t="s">
        <v>25</v>
      </c>
      <c r="E122" t="s">
        <v>60</v>
      </c>
      <c r="F122" t="s">
        <v>21</v>
      </c>
      <c r="G122" t="s">
        <v>22</v>
      </c>
      <c r="H122">
        <v>11</v>
      </c>
      <c r="I122">
        <v>86.08</v>
      </c>
      <c r="J122">
        <v>5</v>
      </c>
      <c r="K122">
        <v>899.54</v>
      </c>
    </row>
    <row r="123" spans="1:11" x14ac:dyDescent="0.25">
      <c r="A123" t="s">
        <v>268</v>
      </c>
      <c r="B123" t="s">
        <v>1047</v>
      </c>
      <c r="C123" t="s">
        <v>269</v>
      </c>
      <c r="D123" t="s">
        <v>67</v>
      </c>
      <c r="E123" t="s">
        <v>967</v>
      </c>
      <c r="F123" t="s">
        <v>896</v>
      </c>
      <c r="G123" t="s">
        <v>28</v>
      </c>
      <c r="H123">
        <v>43</v>
      </c>
      <c r="I123">
        <v>135.99</v>
      </c>
      <c r="J123">
        <v>0</v>
      </c>
      <c r="K123">
        <v>5847.57</v>
      </c>
    </row>
    <row r="124" spans="1:11" x14ac:dyDescent="0.25">
      <c r="A124" t="s">
        <v>270</v>
      </c>
      <c r="B124" t="s">
        <v>1048</v>
      </c>
      <c r="C124" t="s">
        <v>271</v>
      </c>
      <c r="D124" t="s">
        <v>39</v>
      </c>
      <c r="E124" t="s">
        <v>20</v>
      </c>
      <c r="F124" t="s">
        <v>27</v>
      </c>
      <c r="G124" t="s">
        <v>28</v>
      </c>
      <c r="H124">
        <v>39</v>
      </c>
      <c r="I124">
        <v>134.19</v>
      </c>
      <c r="J124">
        <v>10</v>
      </c>
      <c r="K124">
        <v>4710.07</v>
      </c>
    </row>
    <row r="125" spans="1:11" x14ac:dyDescent="0.25">
      <c r="A125" t="s">
        <v>272</v>
      </c>
      <c r="B125" t="s">
        <v>1049</v>
      </c>
      <c r="C125" t="s">
        <v>273</v>
      </c>
      <c r="D125" t="s">
        <v>50</v>
      </c>
      <c r="E125" t="s">
        <v>901</v>
      </c>
      <c r="F125" t="s">
        <v>54</v>
      </c>
      <c r="G125" t="s">
        <v>55</v>
      </c>
      <c r="H125">
        <v>16</v>
      </c>
      <c r="I125">
        <v>469.98</v>
      </c>
      <c r="J125">
        <v>0</v>
      </c>
      <c r="K125">
        <v>7519.68</v>
      </c>
    </row>
    <row r="126" spans="1:11" x14ac:dyDescent="0.25">
      <c r="A126" t="s">
        <v>274</v>
      </c>
      <c r="B126" t="s">
        <v>1003</v>
      </c>
      <c r="C126" t="s">
        <v>275</v>
      </c>
      <c r="D126" t="s">
        <v>39</v>
      </c>
      <c r="E126" t="s">
        <v>895</v>
      </c>
      <c r="F126" t="s">
        <v>893</v>
      </c>
      <c r="G126" t="s">
        <v>22</v>
      </c>
      <c r="H126">
        <v>19</v>
      </c>
      <c r="I126">
        <v>82.26</v>
      </c>
      <c r="J126">
        <v>0</v>
      </c>
      <c r="K126">
        <v>1562.94</v>
      </c>
    </row>
    <row r="127" spans="1:11" x14ac:dyDescent="0.25">
      <c r="A127" t="s">
        <v>276</v>
      </c>
      <c r="B127" t="s">
        <v>950</v>
      </c>
      <c r="C127" t="s">
        <v>277</v>
      </c>
      <c r="D127" t="s">
        <v>76</v>
      </c>
      <c r="E127" t="s">
        <v>14</v>
      </c>
      <c r="F127" t="s">
        <v>903</v>
      </c>
      <c r="G127" t="s">
        <v>28</v>
      </c>
      <c r="H127">
        <v>16</v>
      </c>
      <c r="I127">
        <v>124.1</v>
      </c>
      <c r="J127">
        <v>20</v>
      </c>
      <c r="K127">
        <v>1588.48</v>
      </c>
    </row>
    <row r="128" spans="1:11" x14ac:dyDescent="0.25">
      <c r="A128" t="s">
        <v>278</v>
      </c>
      <c r="B128" t="s">
        <v>930</v>
      </c>
      <c r="C128" t="s">
        <v>279</v>
      </c>
      <c r="D128" t="s">
        <v>76</v>
      </c>
      <c r="E128" t="s">
        <v>901</v>
      </c>
      <c r="F128" t="s">
        <v>896</v>
      </c>
      <c r="G128" t="s">
        <v>28</v>
      </c>
      <c r="H128">
        <v>30</v>
      </c>
      <c r="I128">
        <v>1192.9000000000001</v>
      </c>
      <c r="J128">
        <v>20</v>
      </c>
      <c r="K128">
        <v>2862.96</v>
      </c>
    </row>
    <row r="129" spans="1:11" x14ac:dyDescent="0.25">
      <c r="A129" t="s">
        <v>280</v>
      </c>
      <c r="B129" t="s">
        <v>1050</v>
      </c>
      <c r="C129" t="s">
        <v>281</v>
      </c>
      <c r="D129" t="s">
        <v>35</v>
      </c>
      <c r="E129" t="s">
        <v>956</v>
      </c>
      <c r="F129" t="s">
        <v>969</v>
      </c>
      <c r="G129" t="s">
        <v>16</v>
      </c>
      <c r="H129">
        <v>29</v>
      </c>
      <c r="I129">
        <v>105.62</v>
      </c>
      <c r="J129">
        <v>0</v>
      </c>
      <c r="K129">
        <v>3062.98</v>
      </c>
    </row>
    <row r="130" spans="1:11" x14ac:dyDescent="0.25">
      <c r="A130" t="s">
        <v>282</v>
      </c>
      <c r="B130" t="s">
        <v>1051</v>
      </c>
      <c r="C130" t="s">
        <v>231</v>
      </c>
      <c r="D130" t="s">
        <v>35</v>
      </c>
      <c r="E130" t="s">
        <v>60</v>
      </c>
      <c r="F130" t="s">
        <v>945</v>
      </c>
      <c r="G130" t="s">
        <v>55</v>
      </c>
      <c r="H130">
        <v>10</v>
      </c>
      <c r="I130">
        <v>449.54</v>
      </c>
      <c r="J130">
        <v>0</v>
      </c>
      <c r="K130">
        <v>4495.3999999999996</v>
      </c>
    </row>
    <row r="131" spans="1:11" x14ac:dyDescent="0.25">
      <c r="A131" t="s">
        <v>283</v>
      </c>
      <c r="B131" t="s">
        <v>1052</v>
      </c>
      <c r="C131" t="s">
        <v>119</v>
      </c>
      <c r="D131" t="s">
        <v>53</v>
      </c>
      <c r="E131" t="s">
        <v>944</v>
      </c>
      <c r="F131" t="s">
        <v>79</v>
      </c>
      <c r="G131" t="s">
        <v>22</v>
      </c>
      <c r="H131">
        <v>50</v>
      </c>
      <c r="I131">
        <v>39.6</v>
      </c>
      <c r="J131">
        <v>15</v>
      </c>
      <c r="K131">
        <v>1706.72</v>
      </c>
    </row>
    <row r="132" spans="1:11" x14ac:dyDescent="0.25">
      <c r="A132" t="s">
        <v>284</v>
      </c>
      <c r="B132" t="s">
        <v>1053</v>
      </c>
      <c r="C132" t="s">
        <v>30</v>
      </c>
      <c r="D132" t="s">
        <v>53</v>
      </c>
      <c r="E132" t="s">
        <v>942</v>
      </c>
      <c r="F132" t="s">
        <v>898</v>
      </c>
      <c r="G132" t="s">
        <v>22</v>
      </c>
      <c r="H132">
        <v>23</v>
      </c>
      <c r="I132">
        <v>42.58</v>
      </c>
      <c r="J132" t="s">
        <v>899</v>
      </c>
      <c r="K132">
        <v>930.37</v>
      </c>
    </row>
    <row r="133" spans="1:11" x14ac:dyDescent="0.25">
      <c r="A133" t="s">
        <v>285</v>
      </c>
      <c r="B133" t="s">
        <v>1054</v>
      </c>
      <c r="C133" t="s">
        <v>286</v>
      </c>
      <c r="D133" t="s">
        <v>76</v>
      </c>
      <c r="E133" t="s">
        <v>967</v>
      </c>
      <c r="F133" t="s">
        <v>993</v>
      </c>
      <c r="G133" t="s">
        <v>43</v>
      </c>
      <c r="H133">
        <v>19</v>
      </c>
      <c r="I133">
        <v>311.94</v>
      </c>
      <c r="J133">
        <v>0</v>
      </c>
      <c r="K133">
        <v>5926.86</v>
      </c>
    </row>
    <row r="134" spans="1:11" x14ac:dyDescent="0.25">
      <c r="A134" t="s">
        <v>287</v>
      </c>
      <c r="B134" t="s">
        <v>1055</v>
      </c>
      <c r="C134" t="s">
        <v>288</v>
      </c>
      <c r="D134" t="s">
        <v>67</v>
      </c>
      <c r="E134" t="s">
        <v>925</v>
      </c>
      <c r="F134" t="s">
        <v>54</v>
      </c>
      <c r="G134" t="s">
        <v>55</v>
      </c>
      <c r="H134">
        <v>12</v>
      </c>
      <c r="I134">
        <v>439.71</v>
      </c>
      <c r="J134" t="s">
        <v>951</v>
      </c>
      <c r="K134">
        <v>5276.52</v>
      </c>
    </row>
    <row r="135" spans="1:11" x14ac:dyDescent="0.25">
      <c r="A135" t="s">
        <v>289</v>
      </c>
      <c r="B135" t="s">
        <v>1056</v>
      </c>
      <c r="C135" t="s">
        <v>290</v>
      </c>
      <c r="D135" t="s">
        <v>39</v>
      </c>
      <c r="E135" t="s">
        <v>905</v>
      </c>
      <c r="F135" t="s">
        <v>898</v>
      </c>
      <c r="G135" t="s">
        <v>22</v>
      </c>
      <c r="H135">
        <v>10</v>
      </c>
      <c r="I135">
        <v>47.3</v>
      </c>
      <c r="J135">
        <v>15</v>
      </c>
      <c r="K135">
        <v>402.05</v>
      </c>
    </row>
    <row r="136" spans="1:11" x14ac:dyDescent="0.25">
      <c r="A136" t="s">
        <v>291</v>
      </c>
      <c r="B136" t="s">
        <v>1057</v>
      </c>
      <c r="C136" t="s">
        <v>188</v>
      </c>
      <c r="D136" t="s">
        <v>53</v>
      </c>
      <c r="E136" t="s">
        <v>940</v>
      </c>
      <c r="F136" t="s">
        <v>890</v>
      </c>
      <c r="G136" t="s">
        <v>16</v>
      </c>
      <c r="H136">
        <v>46</v>
      </c>
      <c r="I136">
        <v>95.05</v>
      </c>
      <c r="J136">
        <v>15</v>
      </c>
      <c r="K136">
        <v>3716.46</v>
      </c>
    </row>
    <row r="137" spans="1:11" x14ac:dyDescent="0.25">
      <c r="A137" t="s">
        <v>292</v>
      </c>
      <c r="B137" t="s">
        <v>1003</v>
      </c>
      <c r="C137" t="s">
        <v>248</v>
      </c>
      <c r="D137" t="s">
        <v>25</v>
      </c>
      <c r="E137" t="s">
        <v>915</v>
      </c>
      <c r="F137" t="s">
        <v>890</v>
      </c>
      <c r="G137" t="s">
        <v>16</v>
      </c>
      <c r="H137">
        <v>48</v>
      </c>
      <c r="I137">
        <v>85.77</v>
      </c>
      <c r="J137">
        <v>5</v>
      </c>
      <c r="K137">
        <v>3911.11</v>
      </c>
    </row>
    <row r="138" spans="1:11" x14ac:dyDescent="0.25">
      <c r="A138" t="s">
        <v>293</v>
      </c>
      <c r="B138" t="s">
        <v>1058</v>
      </c>
      <c r="C138" t="s">
        <v>294</v>
      </c>
      <c r="D138" t="s">
        <v>53</v>
      </c>
      <c r="E138" t="s">
        <v>20</v>
      </c>
      <c r="F138" t="s">
        <v>896</v>
      </c>
      <c r="G138" t="s">
        <v>28</v>
      </c>
      <c r="H138">
        <v>47</v>
      </c>
      <c r="I138">
        <v>125.18</v>
      </c>
      <c r="J138">
        <v>0</v>
      </c>
      <c r="K138">
        <v>5883.46</v>
      </c>
    </row>
    <row r="139" spans="1:11" x14ac:dyDescent="0.25">
      <c r="A139" t="s">
        <v>295</v>
      </c>
      <c r="B139" t="s">
        <v>1059</v>
      </c>
      <c r="D139" t="s">
        <v>39</v>
      </c>
      <c r="E139" t="s">
        <v>20</v>
      </c>
      <c r="F139" t="s">
        <v>947</v>
      </c>
      <c r="G139" t="s">
        <v>22</v>
      </c>
      <c r="H139">
        <v>30</v>
      </c>
      <c r="I139">
        <v>41.84</v>
      </c>
      <c r="J139" t="s">
        <v>951</v>
      </c>
      <c r="K139">
        <v>1255.2</v>
      </c>
    </row>
    <row r="140" spans="1:11" x14ac:dyDescent="0.25">
      <c r="A140" t="s">
        <v>296</v>
      </c>
      <c r="B140" t="s">
        <v>1060</v>
      </c>
      <c r="C140" t="s">
        <v>297</v>
      </c>
      <c r="D140" t="s">
        <v>35</v>
      </c>
      <c r="E140" t="s">
        <v>26</v>
      </c>
      <c r="F140" t="s">
        <v>21</v>
      </c>
      <c r="G140" t="s">
        <v>22</v>
      </c>
      <c r="H140">
        <v>47</v>
      </c>
      <c r="I140">
        <v>91.36</v>
      </c>
      <c r="J140" t="s">
        <v>1025</v>
      </c>
      <c r="K140">
        <v>3864.53</v>
      </c>
    </row>
    <row r="141" spans="1:11" x14ac:dyDescent="0.25">
      <c r="A141" t="s">
        <v>298</v>
      </c>
      <c r="B141" t="s">
        <v>1061</v>
      </c>
      <c r="C141" t="s">
        <v>299</v>
      </c>
      <c r="D141" t="s">
        <v>35</v>
      </c>
      <c r="E141" t="s">
        <v>36</v>
      </c>
      <c r="F141" t="s">
        <v>893</v>
      </c>
      <c r="G141" t="s">
        <v>22</v>
      </c>
      <c r="H141">
        <v>33</v>
      </c>
      <c r="I141">
        <v>90.78</v>
      </c>
      <c r="J141">
        <v>5</v>
      </c>
      <c r="K141">
        <v>2845.95</v>
      </c>
    </row>
    <row r="142" spans="1:11" x14ac:dyDescent="0.25">
      <c r="A142" t="s">
        <v>300</v>
      </c>
      <c r="B142" t="s">
        <v>1062</v>
      </c>
      <c r="C142" t="s">
        <v>297</v>
      </c>
      <c r="D142" t="s">
        <v>76</v>
      </c>
      <c r="E142" t="s">
        <v>20</v>
      </c>
      <c r="F142" t="s">
        <v>947</v>
      </c>
      <c r="G142" t="s">
        <v>22</v>
      </c>
      <c r="H142">
        <v>9</v>
      </c>
      <c r="I142">
        <v>46.08</v>
      </c>
      <c r="J142">
        <v>0</v>
      </c>
      <c r="K142">
        <v>414.72</v>
      </c>
    </row>
    <row r="143" spans="1:11" x14ac:dyDescent="0.25">
      <c r="A143" t="s">
        <v>301</v>
      </c>
      <c r="B143" t="s">
        <v>1063</v>
      </c>
      <c r="C143" t="s">
        <v>302</v>
      </c>
      <c r="D143" t="s">
        <v>67</v>
      </c>
      <c r="E143" t="s">
        <v>889</v>
      </c>
      <c r="F143" t="s">
        <v>927</v>
      </c>
      <c r="H143">
        <v>3</v>
      </c>
      <c r="I143">
        <v>34.24</v>
      </c>
      <c r="J143" t="s">
        <v>918</v>
      </c>
      <c r="K143">
        <v>87.31</v>
      </c>
    </row>
    <row r="144" spans="1:11" x14ac:dyDescent="0.25">
      <c r="A144" t="s">
        <v>303</v>
      </c>
      <c r="B144" t="s">
        <v>1064</v>
      </c>
      <c r="C144" t="s">
        <v>304</v>
      </c>
      <c r="D144" t="s">
        <v>53</v>
      </c>
      <c r="E144" t="s">
        <v>913</v>
      </c>
      <c r="F144" t="s">
        <v>898</v>
      </c>
      <c r="G144" t="s">
        <v>22</v>
      </c>
      <c r="H144">
        <v>29</v>
      </c>
      <c r="I144">
        <v>43.87</v>
      </c>
      <c r="J144">
        <v>0</v>
      </c>
      <c r="K144">
        <v>1272.23</v>
      </c>
    </row>
    <row r="145" spans="1:11" x14ac:dyDescent="0.25">
      <c r="A145" t="s">
        <v>305</v>
      </c>
      <c r="B145" t="s">
        <v>1065</v>
      </c>
      <c r="C145" t="s">
        <v>297</v>
      </c>
      <c r="D145" t="s">
        <v>35</v>
      </c>
      <c r="E145" t="s">
        <v>895</v>
      </c>
      <c r="F145" t="s">
        <v>32</v>
      </c>
      <c r="G145" t="s">
        <v>22</v>
      </c>
      <c r="H145">
        <v>43</v>
      </c>
      <c r="I145">
        <v>46.17</v>
      </c>
      <c r="J145">
        <v>0</v>
      </c>
      <c r="K145">
        <v>1985.31</v>
      </c>
    </row>
    <row r="146" spans="1:11" x14ac:dyDescent="0.25">
      <c r="A146" t="s">
        <v>306</v>
      </c>
      <c r="B146" t="s">
        <v>1066</v>
      </c>
      <c r="C146" t="s">
        <v>307</v>
      </c>
      <c r="D146" t="s">
        <v>53</v>
      </c>
      <c r="E146" t="s">
        <v>942</v>
      </c>
      <c r="F146" t="s">
        <v>890</v>
      </c>
      <c r="G146" t="s">
        <v>16</v>
      </c>
      <c r="H146">
        <v>3</v>
      </c>
      <c r="I146">
        <v>100.74</v>
      </c>
      <c r="J146">
        <v>5</v>
      </c>
      <c r="K146">
        <v>287.11</v>
      </c>
    </row>
    <row r="147" spans="1:11" x14ac:dyDescent="0.25">
      <c r="A147" t="s">
        <v>308</v>
      </c>
      <c r="B147" t="s">
        <v>1067</v>
      </c>
      <c r="C147" t="s">
        <v>309</v>
      </c>
      <c r="D147" t="s">
        <v>39</v>
      </c>
      <c r="E147" t="s">
        <v>974</v>
      </c>
      <c r="F147" t="s">
        <v>934</v>
      </c>
      <c r="G147" t="s">
        <v>22</v>
      </c>
      <c r="H147">
        <v>32</v>
      </c>
      <c r="I147">
        <v>39.67</v>
      </c>
      <c r="J147" t="s">
        <v>951</v>
      </c>
      <c r="K147">
        <v>1269.44</v>
      </c>
    </row>
    <row r="148" spans="1:11" x14ac:dyDescent="0.25">
      <c r="A148" t="s">
        <v>310</v>
      </c>
      <c r="B148" t="s">
        <v>1068</v>
      </c>
      <c r="C148" t="s">
        <v>311</v>
      </c>
      <c r="D148" t="s">
        <v>39</v>
      </c>
      <c r="E148" t="s">
        <v>940</v>
      </c>
      <c r="F148" t="s">
        <v>898</v>
      </c>
      <c r="G148" t="s">
        <v>22</v>
      </c>
      <c r="H148">
        <v>23</v>
      </c>
      <c r="I148">
        <v>44.11</v>
      </c>
      <c r="J148" t="s">
        <v>951</v>
      </c>
      <c r="K148">
        <v>1014.53</v>
      </c>
    </row>
    <row r="149" spans="1:11" x14ac:dyDescent="0.25">
      <c r="A149" t="s">
        <v>312</v>
      </c>
      <c r="B149" t="s">
        <v>1069</v>
      </c>
      <c r="C149" t="s">
        <v>313</v>
      </c>
      <c r="D149" t="s">
        <v>67</v>
      </c>
      <c r="E149" t="s">
        <v>36</v>
      </c>
      <c r="F149" t="s">
        <v>931</v>
      </c>
      <c r="G149" t="s">
        <v>43</v>
      </c>
      <c r="H149">
        <v>39</v>
      </c>
      <c r="I149">
        <v>1186.29</v>
      </c>
      <c r="J149">
        <v>0</v>
      </c>
      <c r="K149">
        <v>46265.31</v>
      </c>
    </row>
    <row r="150" spans="1:11" x14ac:dyDescent="0.25">
      <c r="A150" t="s">
        <v>314</v>
      </c>
      <c r="B150" t="s">
        <v>1070</v>
      </c>
      <c r="C150" t="s">
        <v>315</v>
      </c>
      <c r="D150" t="s">
        <v>50</v>
      </c>
      <c r="E150" t="s">
        <v>905</v>
      </c>
      <c r="F150" t="s">
        <v>906</v>
      </c>
      <c r="G150" t="s">
        <v>43</v>
      </c>
      <c r="H150">
        <v>12</v>
      </c>
      <c r="I150">
        <v>310.76</v>
      </c>
      <c r="J150">
        <v>20</v>
      </c>
      <c r="K150">
        <v>2983.3</v>
      </c>
    </row>
    <row r="151" spans="1:11" x14ac:dyDescent="0.25">
      <c r="A151" t="s">
        <v>316</v>
      </c>
      <c r="B151" t="s">
        <v>1071</v>
      </c>
      <c r="C151" t="s">
        <v>317</v>
      </c>
      <c r="E151" t="s">
        <v>1072</v>
      </c>
      <c r="F151" t="s">
        <v>983</v>
      </c>
      <c r="G151" t="s">
        <v>22</v>
      </c>
      <c r="H151">
        <v>33</v>
      </c>
      <c r="I151">
        <v>87.66</v>
      </c>
      <c r="J151" t="s">
        <v>1025</v>
      </c>
      <c r="K151">
        <v>2603.5</v>
      </c>
    </row>
    <row r="152" spans="1:11" x14ac:dyDescent="0.25">
      <c r="A152" t="s">
        <v>318</v>
      </c>
      <c r="B152" t="s">
        <v>1073</v>
      </c>
      <c r="C152" t="s">
        <v>115</v>
      </c>
      <c r="D152" t="s">
        <v>50</v>
      </c>
      <c r="E152" t="s">
        <v>944</v>
      </c>
      <c r="F152" t="s">
        <v>15</v>
      </c>
      <c r="G152" t="s">
        <v>16</v>
      </c>
      <c r="H152">
        <v>33</v>
      </c>
      <c r="I152">
        <v>106.39</v>
      </c>
      <c r="J152">
        <v>15</v>
      </c>
      <c r="K152">
        <v>2984.24</v>
      </c>
    </row>
    <row r="153" spans="1:11" x14ac:dyDescent="0.25">
      <c r="A153" t="s">
        <v>319</v>
      </c>
      <c r="B153" t="s">
        <v>1074</v>
      </c>
      <c r="C153" t="s">
        <v>320</v>
      </c>
      <c r="D153" t="s">
        <v>99</v>
      </c>
      <c r="E153" t="s">
        <v>942</v>
      </c>
      <c r="F153" t="s">
        <v>931</v>
      </c>
      <c r="G153" t="s">
        <v>43</v>
      </c>
      <c r="H153">
        <v>49</v>
      </c>
      <c r="I153">
        <v>1192.69</v>
      </c>
      <c r="J153">
        <v>15</v>
      </c>
      <c r="K153">
        <v>49675.54</v>
      </c>
    </row>
    <row r="154" spans="1:11" x14ac:dyDescent="0.25">
      <c r="A154" t="s">
        <v>321</v>
      </c>
      <c r="B154" t="s">
        <v>1075</v>
      </c>
      <c r="C154" t="s">
        <v>279</v>
      </c>
      <c r="D154" t="s">
        <v>53</v>
      </c>
      <c r="E154" t="s">
        <v>986</v>
      </c>
      <c r="F154" t="s">
        <v>79</v>
      </c>
      <c r="G154" t="s">
        <v>22</v>
      </c>
      <c r="H154">
        <v>14</v>
      </c>
      <c r="I154">
        <v>37.119999999999997</v>
      </c>
      <c r="J154">
        <v>5</v>
      </c>
      <c r="K154">
        <v>493.7</v>
      </c>
    </row>
    <row r="155" spans="1:11" x14ac:dyDescent="0.25">
      <c r="A155" t="s">
        <v>322</v>
      </c>
      <c r="B155" t="s">
        <v>1076</v>
      </c>
      <c r="C155" t="s">
        <v>137</v>
      </c>
      <c r="D155" t="s">
        <v>99</v>
      </c>
      <c r="E155" t="s">
        <v>913</v>
      </c>
      <c r="F155" t="s">
        <v>32</v>
      </c>
      <c r="G155" t="s">
        <v>22</v>
      </c>
      <c r="H155">
        <v>41</v>
      </c>
      <c r="I155">
        <v>43.75</v>
      </c>
      <c r="J155">
        <v>0</v>
      </c>
      <c r="K155">
        <v>1793.75</v>
      </c>
    </row>
    <row r="156" spans="1:11" x14ac:dyDescent="0.25">
      <c r="A156" t="s">
        <v>323</v>
      </c>
      <c r="B156" t="s">
        <v>1077</v>
      </c>
      <c r="C156" t="s">
        <v>324</v>
      </c>
      <c r="D156" t="s">
        <v>19</v>
      </c>
      <c r="E156" t="s">
        <v>942</v>
      </c>
      <c r="F156" t="s">
        <v>32</v>
      </c>
      <c r="G156" t="s">
        <v>22</v>
      </c>
      <c r="H156">
        <v>11</v>
      </c>
      <c r="I156">
        <v>49.88</v>
      </c>
      <c r="J156" t="s">
        <v>951</v>
      </c>
      <c r="K156">
        <v>548.67999999999995</v>
      </c>
    </row>
    <row r="157" spans="1:11" x14ac:dyDescent="0.25">
      <c r="A157" t="s">
        <v>325</v>
      </c>
      <c r="B157" t="s">
        <v>1078</v>
      </c>
      <c r="C157" t="s">
        <v>326</v>
      </c>
      <c r="D157" t="s">
        <v>76</v>
      </c>
      <c r="E157" t="s">
        <v>913</v>
      </c>
      <c r="F157" t="s">
        <v>32</v>
      </c>
      <c r="G157" t="s">
        <v>22</v>
      </c>
      <c r="H157">
        <v>3</v>
      </c>
      <c r="I157" t="s">
        <v>1079</v>
      </c>
      <c r="J157">
        <v>5</v>
      </c>
      <c r="K157">
        <v>120.64</v>
      </c>
    </row>
    <row r="158" spans="1:11" x14ac:dyDescent="0.25">
      <c r="A158" t="s">
        <v>327</v>
      </c>
      <c r="B158" t="s">
        <v>1080</v>
      </c>
      <c r="C158" t="s">
        <v>89</v>
      </c>
      <c r="D158" t="s">
        <v>50</v>
      </c>
      <c r="E158" t="s">
        <v>60</v>
      </c>
      <c r="F158" t="s">
        <v>934</v>
      </c>
      <c r="G158" t="s">
        <v>22</v>
      </c>
      <c r="H158">
        <v>50</v>
      </c>
      <c r="I158">
        <v>39.71</v>
      </c>
      <c r="J158">
        <v>0</v>
      </c>
      <c r="K158">
        <v>1985.5</v>
      </c>
    </row>
    <row r="159" spans="1:11" x14ac:dyDescent="0.25">
      <c r="A159" t="s">
        <v>328</v>
      </c>
      <c r="B159" t="s">
        <v>1081</v>
      </c>
      <c r="D159" t="s">
        <v>76</v>
      </c>
      <c r="E159" t="s">
        <v>889</v>
      </c>
      <c r="F159" t="s">
        <v>15</v>
      </c>
      <c r="G159" t="s">
        <v>16</v>
      </c>
      <c r="H159">
        <v>37</v>
      </c>
      <c r="I159">
        <v>96.88</v>
      </c>
      <c r="J159">
        <v>10</v>
      </c>
      <c r="K159">
        <v>3226.1</v>
      </c>
    </row>
    <row r="160" spans="1:11" x14ac:dyDescent="0.25">
      <c r="A160" t="s">
        <v>329</v>
      </c>
      <c r="B160" t="s">
        <v>1082</v>
      </c>
      <c r="C160" t="s">
        <v>299</v>
      </c>
      <c r="D160" t="s">
        <v>19</v>
      </c>
      <c r="E160" t="s">
        <v>944</v>
      </c>
      <c r="F160" t="s">
        <v>906</v>
      </c>
      <c r="H160">
        <v>45</v>
      </c>
      <c r="I160">
        <v>332.13</v>
      </c>
      <c r="J160">
        <v>0</v>
      </c>
      <c r="K160">
        <v>14945.85</v>
      </c>
    </row>
    <row r="161" spans="1:11" x14ac:dyDescent="0.25">
      <c r="A161" t="s">
        <v>330</v>
      </c>
      <c r="B161" t="s">
        <v>1083</v>
      </c>
      <c r="C161" t="s">
        <v>331</v>
      </c>
      <c r="D161" t="s">
        <v>50</v>
      </c>
      <c r="E161" t="s">
        <v>915</v>
      </c>
      <c r="F161" t="s">
        <v>1001</v>
      </c>
      <c r="G161" t="s">
        <v>22</v>
      </c>
      <c r="H161">
        <v>17</v>
      </c>
      <c r="I161">
        <v>32.36</v>
      </c>
      <c r="K161">
        <v>550.12</v>
      </c>
    </row>
    <row r="162" spans="1:11" x14ac:dyDescent="0.25">
      <c r="A162" t="s">
        <v>332</v>
      </c>
      <c r="B162" t="s">
        <v>1080</v>
      </c>
      <c r="C162" t="s">
        <v>235</v>
      </c>
      <c r="D162" t="s">
        <v>31</v>
      </c>
      <c r="E162" t="s">
        <v>1072</v>
      </c>
      <c r="F162" t="s">
        <v>939</v>
      </c>
      <c r="G162" t="s">
        <v>43</v>
      </c>
      <c r="H162">
        <v>22</v>
      </c>
      <c r="I162">
        <v>1158.24</v>
      </c>
      <c r="J162">
        <v>10</v>
      </c>
      <c r="K162">
        <v>22933.15</v>
      </c>
    </row>
    <row r="163" spans="1:11" x14ac:dyDescent="0.25">
      <c r="A163" t="s">
        <v>333</v>
      </c>
      <c r="B163" t="s">
        <v>1084</v>
      </c>
      <c r="C163" t="s">
        <v>334</v>
      </c>
      <c r="D163" t="s">
        <v>19</v>
      </c>
      <c r="E163" t="s">
        <v>913</v>
      </c>
      <c r="F163" t="s">
        <v>898</v>
      </c>
      <c r="G163" t="s">
        <v>22</v>
      </c>
      <c r="H163">
        <v>8</v>
      </c>
      <c r="I163">
        <v>44.39</v>
      </c>
      <c r="J163">
        <v>5</v>
      </c>
      <c r="K163">
        <v>337.36</v>
      </c>
    </row>
    <row r="164" spans="1:11" x14ac:dyDescent="0.25">
      <c r="A164" t="s">
        <v>335</v>
      </c>
      <c r="B164" t="s">
        <v>1085</v>
      </c>
      <c r="C164" t="s">
        <v>336</v>
      </c>
      <c r="D164" t="s">
        <v>67</v>
      </c>
      <c r="E164" t="s">
        <v>26</v>
      </c>
      <c r="F164" t="s">
        <v>893</v>
      </c>
      <c r="G164" t="s">
        <v>22</v>
      </c>
      <c r="H164">
        <v>49</v>
      </c>
      <c r="I164">
        <v>88.57</v>
      </c>
      <c r="J164">
        <v>10</v>
      </c>
      <c r="K164">
        <v>3905.94</v>
      </c>
    </row>
    <row r="165" spans="1:11" x14ac:dyDescent="0.25">
      <c r="A165" t="s">
        <v>337</v>
      </c>
      <c r="B165" t="s">
        <v>1086</v>
      </c>
      <c r="C165" t="s">
        <v>338</v>
      </c>
      <c r="D165" t="s">
        <v>50</v>
      </c>
      <c r="E165" t="s">
        <v>14</v>
      </c>
      <c r="F165" t="s">
        <v>983</v>
      </c>
      <c r="G165" t="s">
        <v>22</v>
      </c>
      <c r="H165">
        <v>30</v>
      </c>
      <c r="I165">
        <v>81.760000000000005</v>
      </c>
      <c r="J165">
        <v>0</v>
      </c>
      <c r="K165">
        <v>2452.8000000000002</v>
      </c>
    </row>
    <row r="166" spans="1:11" x14ac:dyDescent="0.25">
      <c r="A166" t="s">
        <v>339</v>
      </c>
      <c r="B166" t="s">
        <v>1087</v>
      </c>
      <c r="C166" t="s">
        <v>340</v>
      </c>
      <c r="D166" t="s">
        <v>19</v>
      </c>
      <c r="E166" t="s">
        <v>944</v>
      </c>
      <c r="F166" t="s">
        <v>42</v>
      </c>
      <c r="G166" t="s">
        <v>43</v>
      </c>
      <c r="H166">
        <v>-10</v>
      </c>
      <c r="I166">
        <v>339.67</v>
      </c>
      <c r="J166">
        <v>0</v>
      </c>
      <c r="K166">
        <v>3396.7</v>
      </c>
    </row>
    <row r="167" spans="1:11" x14ac:dyDescent="0.25">
      <c r="A167" t="s">
        <v>341</v>
      </c>
      <c r="B167" t="s">
        <v>1026</v>
      </c>
      <c r="C167" t="s">
        <v>342</v>
      </c>
      <c r="D167" t="s">
        <v>39</v>
      </c>
      <c r="E167" t="s">
        <v>60</v>
      </c>
      <c r="F167" t="s">
        <v>947</v>
      </c>
      <c r="G167" t="s">
        <v>22</v>
      </c>
      <c r="H167">
        <v>5</v>
      </c>
      <c r="I167">
        <v>51.34</v>
      </c>
      <c r="J167">
        <v>20</v>
      </c>
      <c r="K167">
        <v>205.36</v>
      </c>
    </row>
    <row r="168" spans="1:11" x14ac:dyDescent="0.25">
      <c r="A168" t="s">
        <v>343</v>
      </c>
      <c r="B168" t="s">
        <v>1088</v>
      </c>
      <c r="C168" t="s">
        <v>344</v>
      </c>
      <c r="D168" t="s">
        <v>99</v>
      </c>
      <c r="E168" t="s">
        <v>942</v>
      </c>
      <c r="F168" t="s">
        <v>931</v>
      </c>
      <c r="G168" t="s">
        <v>43</v>
      </c>
      <c r="H168">
        <v>3</v>
      </c>
      <c r="I168">
        <v>1318.49</v>
      </c>
      <c r="J168" t="s">
        <v>951</v>
      </c>
      <c r="K168">
        <v>3955.47</v>
      </c>
    </row>
    <row r="169" spans="1:11" x14ac:dyDescent="0.25">
      <c r="A169" t="s">
        <v>345</v>
      </c>
      <c r="B169" t="s">
        <v>1089</v>
      </c>
      <c r="C169" t="s">
        <v>346</v>
      </c>
      <c r="D169" t="s">
        <v>31</v>
      </c>
      <c r="E169" t="s">
        <v>940</v>
      </c>
      <c r="F169" t="s">
        <v>1001</v>
      </c>
      <c r="G169" t="s">
        <v>22</v>
      </c>
      <c r="H169">
        <v>6</v>
      </c>
      <c r="I169">
        <v>35.619999999999997</v>
      </c>
      <c r="J169">
        <v>0</v>
      </c>
      <c r="K169">
        <v>213.72</v>
      </c>
    </row>
    <row r="170" spans="1:11" x14ac:dyDescent="0.25">
      <c r="A170" t="s">
        <v>347</v>
      </c>
      <c r="B170" t="s">
        <v>1052</v>
      </c>
      <c r="C170" t="s">
        <v>348</v>
      </c>
      <c r="D170" t="s">
        <v>76</v>
      </c>
      <c r="E170" t="s">
        <v>905</v>
      </c>
      <c r="F170" t="s">
        <v>42</v>
      </c>
      <c r="G170" t="s">
        <v>43</v>
      </c>
      <c r="H170">
        <v>3</v>
      </c>
      <c r="I170">
        <v>288.41000000000003</v>
      </c>
      <c r="J170">
        <v>0</v>
      </c>
      <c r="K170">
        <v>865.23</v>
      </c>
    </row>
    <row r="171" spans="1:11" x14ac:dyDescent="0.25">
      <c r="A171" t="s">
        <v>349</v>
      </c>
      <c r="B171" t="s">
        <v>1090</v>
      </c>
      <c r="C171" t="s">
        <v>350</v>
      </c>
      <c r="D171" t="s">
        <v>99</v>
      </c>
      <c r="E171" t="s">
        <v>895</v>
      </c>
      <c r="F171" t="s">
        <v>893</v>
      </c>
      <c r="G171" t="s">
        <v>22</v>
      </c>
      <c r="H171">
        <v>26</v>
      </c>
      <c r="I171">
        <v>81.069999999999993</v>
      </c>
      <c r="J171">
        <v>20</v>
      </c>
      <c r="K171">
        <v>1686.26</v>
      </c>
    </row>
    <row r="172" spans="1:11" x14ac:dyDescent="0.25">
      <c r="A172" t="s">
        <v>351</v>
      </c>
      <c r="B172" t="s">
        <v>894</v>
      </c>
      <c r="C172" t="s">
        <v>352</v>
      </c>
      <c r="D172" t="s">
        <v>76</v>
      </c>
      <c r="E172" t="s">
        <v>1072</v>
      </c>
      <c r="F172" t="s">
        <v>969</v>
      </c>
      <c r="G172" t="s">
        <v>16</v>
      </c>
      <c r="H172">
        <v>24</v>
      </c>
      <c r="I172">
        <v>103.65</v>
      </c>
      <c r="J172" t="s">
        <v>951</v>
      </c>
      <c r="K172">
        <v>2487.6</v>
      </c>
    </row>
    <row r="173" spans="1:11" x14ac:dyDescent="0.25">
      <c r="A173" t="s">
        <v>353</v>
      </c>
      <c r="B173" t="s">
        <v>1091</v>
      </c>
      <c r="C173" t="s">
        <v>81</v>
      </c>
      <c r="D173" t="s">
        <v>99</v>
      </c>
      <c r="E173" t="s">
        <v>925</v>
      </c>
      <c r="F173" t="s">
        <v>27</v>
      </c>
      <c r="G173" t="s">
        <v>28</v>
      </c>
      <c r="H173">
        <v>45</v>
      </c>
      <c r="I173">
        <v>110.34</v>
      </c>
      <c r="J173">
        <v>0</v>
      </c>
      <c r="K173">
        <v>4965.3</v>
      </c>
    </row>
    <row r="174" spans="1:11" x14ac:dyDescent="0.25">
      <c r="A174" t="s">
        <v>354</v>
      </c>
      <c r="B174" t="s">
        <v>1092</v>
      </c>
      <c r="C174" t="s">
        <v>355</v>
      </c>
      <c r="D174" t="s">
        <v>25</v>
      </c>
      <c r="E174" t="s">
        <v>956</v>
      </c>
      <c r="F174" t="s">
        <v>27</v>
      </c>
      <c r="G174" t="s">
        <v>28</v>
      </c>
      <c r="H174">
        <v>16</v>
      </c>
      <c r="I174">
        <v>137.19</v>
      </c>
      <c r="J174">
        <v>0</v>
      </c>
      <c r="K174">
        <v>2195.04</v>
      </c>
    </row>
    <row r="175" spans="1:11" x14ac:dyDescent="0.25">
      <c r="A175" t="s">
        <v>356</v>
      </c>
      <c r="B175" t="s">
        <v>1093</v>
      </c>
      <c r="C175" t="s">
        <v>357</v>
      </c>
      <c r="D175" t="s">
        <v>25</v>
      </c>
      <c r="E175" t="s">
        <v>940</v>
      </c>
      <c r="F175" t="s">
        <v>79</v>
      </c>
      <c r="G175" t="s">
        <v>22</v>
      </c>
      <c r="H175">
        <v>20</v>
      </c>
      <c r="I175">
        <v>38.549999999999997</v>
      </c>
      <c r="J175">
        <v>15</v>
      </c>
      <c r="K175">
        <v>655.35</v>
      </c>
    </row>
    <row r="176" spans="1:11" x14ac:dyDescent="0.25">
      <c r="A176" t="s">
        <v>358</v>
      </c>
      <c r="B176" t="s">
        <v>1094</v>
      </c>
      <c r="C176" t="s">
        <v>359</v>
      </c>
      <c r="E176" t="s">
        <v>944</v>
      </c>
      <c r="F176" t="s">
        <v>898</v>
      </c>
      <c r="G176" t="s">
        <v>22</v>
      </c>
      <c r="H176">
        <v>23</v>
      </c>
      <c r="I176">
        <v>41.19</v>
      </c>
      <c r="J176">
        <v>0</v>
      </c>
      <c r="K176">
        <v>947.37</v>
      </c>
    </row>
    <row r="177" spans="1:11" x14ac:dyDescent="0.25">
      <c r="A177" t="s">
        <v>360</v>
      </c>
      <c r="B177" t="s">
        <v>1095</v>
      </c>
      <c r="C177" t="s">
        <v>361</v>
      </c>
      <c r="D177" t="s">
        <v>50</v>
      </c>
      <c r="E177" t="s">
        <v>974</v>
      </c>
      <c r="F177" t="s">
        <v>32</v>
      </c>
      <c r="G177" t="s">
        <v>22</v>
      </c>
      <c r="H177">
        <v>13</v>
      </c>
      <c r="I177">
        <v>46.13</v>
      </c>
      <c r="J177">
        <v>0</v>
      </c>
      <c r="K177">
        <v>599.69000000000005</v>
      </c>
    </row>
    <row r="178" spans="1:11" x14ac:dyDescent="0.25">
      <c r="A178" t="s">
        <v>362</v>
      </c>
      <c r="B178" t="s">
        <v>1096</v>
      </c>
      <c r="C178" t="s">
        <v>363</v>
      </c>
      <c r="D178" t="s">
        <v>31</v>
      </c>
      <c r="E178" t="s">
        <v>26</v>
      </c>
      <c r="F178" t="s">
        <v>911</v>
      </c>
      <c r="G178" t="s">
        <v>55</v>
      </c>
      <c r="H178">
        <v>44</v>
      </c>
      <c r="I178">
        <v>5032.8</v>
      </c>
      <c r="J178">
        <v>0</v>
      </c>
      <c r="K178">
        <v>22144.32</v>
      </c>
    </row>
    <row r="179" spans="1:11" x14ac:dyDescent="0.25">
      <c r="A179" t="s">
        <v>364</v>
      </c>
      <c r="B179" t="s">
        <v>1097</v>
      </c>
      <c r="C179" t="s">
        <v>315</v>
      </c>
      <c r="D179" t="s">
        <v>19</v>
      </c>
      <c r="E179" t="s">
        <v>905</v>
      </c>
      <c r="F179" t="s">
        <v>893</v>
      </c>
      <c r="G179" t="s">
        <v>22</v>
      </c>
      <c r="H179">
        <v>28</v>
      </c>
      <c r="I179">
        <v>76.38</v>
      </c>
      <c r="J179" t="s">
        <v>987</v>
      </c>
      <c r="K179">
        <v>1710.91</v>
      </c>
    </row>
    <row r="180" spans="1:11" x14ac:dyDescent="0.25">
      <c r="A180" t="s">
        <v>365</v>
      </c>
      <c r="B180" t="s">
        <v>1098</v>
      </c>
      <c r="C180" t="s">
        <v>366</v>
      </c>
      <c r="D180" t="s">
        <v>39</v>
      </c>
      <c r="E180" t="s">
        <v>974</v>
      </c>
      <c r="F180" t="s">
        <v>911</v>
      </c>
      <c r="G180" t="s">
        <v>55</v>
      </c>
      <c r="H180">
        <v>3</v>
      </c>
      <c r="I180">
        <v>491.16</v>
      </c>
      <c r="J180">
        <v>20</v>
      </c>
      <c r="K180">
        <v>1178.78</v>
      </c>
    </row>
    <row r="181" spans="1:11" x14ac:dyDescent="0.25">
      <c r="A181" t="s">
        <v>367</v>
      </c>
      <c r="B181" t="s">
        <v>1099</v>
      </c>
      <c r="C181" t="s">
        <v>154</v>
      </c>
      <c r="D181" t="s">
        <v>76</v>
      </c>
      <c r="E181" t="s">
        <v>915</v>
      </c>
      <c r="F181" t="s">
        <v>27</v>
      </c>
      <c r="G181" t="s">
        <v>28</v>
      </c>
      <c r="H181">
        <v>13</v>
      </c>
      <c r="I181">
        <v>121.77</v>
      </c>
      <c r="J181" t="s">
        <v>987</v>
      </c>
      <c r="K181">
        <v>1266.4100000000001</v>
      </c>
    </row>
    <row r="182" spans="1:11" x14ac:dyDescent="0.25">
      <c r="A182" t="s">
        <v>368</v>
      </c>
      <c r="B182" t="s">
        <v>1100</v>
      </c>
      <c r="C182" t="s">
        <v>369</v>
      </c>
      <c r="D182" t="s">
        <v>67</v>
      </c>
      <c r="E182" t="s">
        <v>889</v>
      </c>
      <c r="F182" t="s">
        <v>42</v>
      </c>
      <c r="G182" t="s">
        <v>43</v>
      </c>
      <c r="H182">
        <v>25</v>
      </c>
      <c r="I182">
        <v>345.71</v>
      </c>
      <c r="J182">
        <v>5</v>
      </c>
      <c r="K182">
        <v>8210.61</v>
      </c>
    </row>
    <row r="183" spans="1:11" x14ac:dyDescent="0.25">
      <c r="A183" t="s">
        <v>370</v>
      </c>
      <c r="B183" t="s">
        <v>1101</v>
      </c>
      <c r="C183" t="s">
        <v>371</v>
      </c>
      <c r="D183" t="s">
        <v>50</v>
      </c>
      <c r="E183" t="s">
        <v>1072</v>
      </c>
      <c r="F183" t="s">
        <v>906</v>
      </c>
      <c r="G183" t="s">
        <v>43</v>
      </c>
      <c r="H183">
        <v>41</v>
      </c>
      <c r="I183">
        <v>341.46</v>
      </c>
      <c r="J183">
        <v>20</v>
      </c>
      <c r="K183">
        <v>11199.89</v>
      </c>
    </row>
    <row r="184" spans="1:11" x14ac:dyDescent="0.25">
      <c r="A184" t="s">
        <v>372</v>
      </c>
      <c r="B184" t="s">
        <v>1102</v>
      </c>
      <c r="C184" t="s">
        <v>18</v>
      </c>
      <c r="D184" t="s">
        <v>99</v>
      </c>
      <c r="E184" t="s">
        <v>14</v>
      </c>
      <c r="F184" t="s">
        <v>54</v>
      </c>
      <c r="G184" t="s">
        <v>55</v>
      </c>
      <c r="H184">
        <v>35</v>
      </c>
      <c r="I184">
        <v>435.76</v>
      </c>
      <c r="J184">
        <v>15</v>
      </c>
      <c r="K184">
        <v>12963.86</v>
      </c>
    </row>
    <row r="185" spans="1:11" x14ac:dyDescent="0.25">
      <c r="A185" t="s">
        <v>373</v>
      </c>
      <c r="B185" t="s">
        <v>1064</v>
      </c>
      <c r="C185" t="s">
        <v>162</v>
      </c>
      <c r="D185" t="s">
        <v>76</v>
      </c>
      <c r="E185" t="s">
        <v>20</v>
      </c>
      <c r="F185" t="s">
        <v>32</v>
      </c>
      <c r="H185">
        <v>35</v>
      </c>
      <c r="I185">
        <v>43.76</v>
      </c>
      <c r="J185">
        <v>5</v>
      </c>
      <c r="K185">
        <v>1455.02</v>
      </c>
    </row>
    <row r="186" spans="1:11" x14ac:dyDescent="0.25">
      <c r="A186" t="s">
        <v>374</v>
      </c>
      <c r="B186" t="s">
        <v>1103</v>
      </c>
      <c r="D186" t="s">
        <v>35</v>
      </c>
      <c r="E186" t="s">
        <v>36</v>
      </c>
      <c r="F186" t="s">
        <v>911</v>
      </c>
      <c r="G186" t="s">
        <v>55</v>
      </c>
      <c r="H186">
        <v>27</v>
      </c>
      <c r="I186">
        <v>427.73</v>
      </c>
      <c r="J186">
        <v>0</v>
      </c>
      <c r="K186">
        <v>11548.71</v>
      </c>
    </row>
    <row r="187" spans="1:11" x14ac:dyDescent="0.25">
      <c r="A187" t="s">
        <v>375</v>
      </c>
      <c r="B187" t="s">
        <v>1104</v>
      </c>
      <c r="C187" t="s">
        <v>376</v>
      </c>
      <c r="D187" t="s">
        <v>19</v>
      </c>
      <c r="E187" t="s">
        <v>1072</v>
      </c>
      <c r="F187" t="s">
        <v>79</v>
      </c>
      <c r="G187" t="s">
        <v>22</v>
      </c>
      <c r="H187">
        <v>36</v>
      </c>
      <c r="I187">
        <v>35.69</v>
      </c>
      <c r="J187">
        <v>5</v>
      </c>
      <c r="K187">
        <v>1220.5999999999999</v>
      </c>
    </row>
    <row r="188" spans="1:11" x14ac:dyDescent="0.25">
      <c r="A188" t="s">
        <v>377</v>
      </c>
      <c r="B188" t="s">
        <v>1105</v>
      </c>
      <c r="C188" t="s">
        <v>378</v>
      </c>
      <c r="D188" t="s">
        <v>19</v>
      </c>
      <c r="E188" t="s">
        <v>892</v>
      </c>
      <c r="F188" t="s">
        <v>903</v>
      </c>
      <c r="G188" t="s">
        <v>28</v>
      </c>
      <c r="H188">
        <v>29</v>
      </c>
      <c r="I188">
        <v>118.98</v>
      </c>
      <c r="J188">
        <v>0</v>
      </c>
      <c r="K188">
        <v>3450.42</v>
      </c>
    </row>
    <row r="189" spans="1:11" x14ac:dyDescent="0.25">
      <c r="A189" t="s">
        <v>379</v>
      </c>
      <c r="B189" t="s">
        <v>1106</v>
      </c>
      <c r="C189" t="s">
        <v>380</v>
      </c>
      <c r="D189" t="s">
        <v>50</v>
      </c>
      <c r="E189" t="s">
        <v>942</v>
      </c>
      <c r="F189" t="s">
        <v>962</v>
      </c>
      <c r="G189" t="s">
        <v>43</v>
      </c>
      <c r="H189">
        <v>10</v>
      </c>
      <c r="I189">
        <v>317.47000000000003</v>
      </c>
      <c r="K189">
        <v>2698.5</v>
      </c>
    </row>
    <row r="190" spans="1:11" x14ac:dyDescent="0.25">
      <c r="A190" t="s">
        <v>381</v>
      </c>
      <c r="B190" t="s">
        <v>1107</v>
      </c>
      <c r="C190" t="s">
        <v>382</v>
      </c>
      <c r="D190" t="s">
        <v>35</v>
      </c>
      <c r="E190" t="s">
        <v>20</v>
      </c>
      <c r="F190" t="s">
        <v>54</v>
      </c>
      <c r="G190" t="s">
        <v>55</v>
      </c>
      <c r="H190">
        <v>24</v>
      </c>
      <c r="I190">
        <v>504.26</v>
      </c>
      <c r="J190">
        <v>10</v>
      </c>
      <c r="K190">
        <v>10892.02</v>
      </c>
    </row>
    <row r="191" spans="1:11" x14ac:dyDescent="0.25">
      <c r="A191" t="s">
        <v>383</v>
      </c>
      <c r="B191" t="s">
        <v>1108</v>
      </c>
      <c r="C191" t="s">
        <v>384</v>
      </c>
      <c r="D191" t="s">
        <v>99</v>
      </c>
      <c r="E191" t="s">
        <v>895</v>
      </c>
      <c r="F191" t="s">
        <v>947</v>
      </c>
      <c r="G191" t="s">
        <v>22</v>
      </c>
      <c r="H191">
        <v>9</v>
      </c>
      <c r="I191">
        <v>48.65</v>
      </c>
      <c r="J191">
        <v>15</v>
      </c>
      <c r="K191">
        <v>372.17</v>
      </c>
    </row>
    <row r="192" spans="1:11" x14ac:dyDescent="0.25">
      <c r="A192" t="s">
        <v>385</v>
      </c>
      <c r="B192" t="s">
        <v>1109</v>
      </c>
      <c r="C192" t="s">
        <v>386</v>
      </c>
      <c r="D192" t="s">
        <v>76</v>
      </c>
      <c r="E192" t="s">
        <v>20</v>
      </c>
      <c r="F192" t="s">
        <v>939</v>
      </c>
      <c r="G192" t="s">
        <v>43</v>
      </c>
      <c r="H192">
        <v>46</v>
      </c>
      <c r="I192">
        <v>1324.74</v>
      </c>
      <c r="J192">
        <v>0</v>
      </c>
      <c r="K192">
        <v>60938.04</v>
      </c>
    </row>
    <row r="193" spans="1:11" x14ac:dyDescent="0.25">
      <c r="A193" t="s">
        <v>387</v>
      </c>
      <c r="B193" t="s">
        <v>1110</v>
      </c>
      <c r="C193" t="s">
        <v>186</v>
      </c>
      <c r="D193" t="s">
        <v>50</v>
      </c>
      <c r="E193" t="s">
        <v>944</v>
      </c>
      <c r="F193" t="s">
        <v>27</v>
      </c>
      <c r="G193" t="s">
        <v>28</v>
      </c>
      <c r="H193">
        <v>24</v>
      </c>
      <c r="I193">
        <v>131.57</v>
      </c>
      <c r="J193">
        <v>0</v>
      </c>
      <c r="K193">
        <v>3157.68</v>
      </c>
    </row>
    <row r="194" spans="1:11" x14ac:dyDescent="0.25">
      <c r="A194" t="s">
        <v>388</v>
      </c>
      <c r="B194" t="s">
        <v>1111</v>
      </c>
      <c r="C194" t="s">
        <v>389</v>
      </c>
      <c r="D194" t="s">
        <v>76</v>
      </c>
      <c r="E194" t="s">
        <v>944</v>
      </c>
      <c r="F194" t="s">
        <v>929</v>
      </c>
      <c r="G194" t="s">
        <v>43</v>
      </c>
      <c r="H194">
        <v>3</v>
      </c>
      <c r="I194">
        <v>1355.89</v>
      </c>
      <c r="J194">
        <v>0</v>
      </c>
      <c r="K194">
        <v>4067.67</v>
      </c>
    </row>
    <row r="195" spans="1:11" x14ac:dyDescent="0.25">
      <c r="A195" t="s">
        <v>390</v>
      </c>
      <c r="B195" t="s">
        <v>1112</v>
      </c>
      <c r="C195" t="s">
        <v>391</v>
      </c>
      <c r="D195" t="s">
        <v>99</v>
      </c>
      <c r="E195" t="s">
        <v>942</v>
      </c>
      <c r="F195" t="s">
        <v>42</v>
      </c>
      <c r="G195" t="s">
        <v>43</v>
      </c>
      <c r="H195">
        <v>35</v>
      </c>
      <c r="I195">
        <v>330.48</v>
      </c>
      <c r="J195">
        <v>5</v>
      </c>
      <c r="K195">
        <v>10988.46</v>
      </c>
    </row>
    <row r="196" spans="1:11" x14ac:dyDescent="0.25">
      <c r="A196" t="s">
        <v>241</v>
      </c>
      <c r="B196" t="s">
        <v>1032</v>
      </c>
      <c r="C196" t="s">
        <v>242</v>
      </c>
      <c r="D196" t="s">
        <v>76</v>
      </c>
      <c r="E196" t="s">
        <v>14</v>
      </c>
      <c r="F196" t="s">
        <v>27</v>
      </c>
      <c r="G196" t="s">
        <v>28</v>
      </c>
      <c r="H196">
        <v>24</v>
      </c>
      <c r="I196">
        <v>123.47</v>
      </c>
      <c r="J196">
        <v>0</v>
      </c>
      <c r="K196">
        <v>2963.28</v>
      </c>
    </row>
    <row r="197" spans="1:11" x14ac:dyDescent="0.25">
      <c r="A197" t="s">
        <v>392</v>
      </c>
      <c r="B197" t="s">
        <v>1113</v>
      </c>
      <c r="C197" t="s">
        <v>267</v>
      </c>
      <c r="D197" t="s">
        <v>76</v>
      </c>
      <c r="E197" t="s">
        <v>60</v>
      </c>
      <c r="F197" t="s">
        <v>32</v>
      </c>
      <c r="G197" t="s">
        <v>22</v>
      </c>
      <c r="H197">
        <v>26</v>
      </c>
      <c r="I197">
        <v>50.79</v>
      </c>
      <c r="J197">
        <v>10</v>
      </c>
      <c r="K197">
        <v>1188.49</v>
      </c>
    </row>
    <row r="198" spans="1:11" x14ac:dyDescent="0.25">
      <c r="A198" t="s">
        <v>393</v>
      </c>
      <c r="B198" t="s">
        <v>1114</v>
      </c>
      <c r="C198" t="s">
        <v>394</v>
      </c>
      <c r="D198" t="s">
        <v>76</v>
      </c>
      <c r="E198" t="s">
        <v>913</v>
      </c>
      <c r="F198" t="s">
        <v>54</v>
      </c>
      <c r="G198" t="s">
        <v>55</v>
      </c>
      <c r="H198">
        <v>21</v>
      </c>
      <c r="I198">
        <v>499.63</v>
      </c>
      <c r="J198" t="s">
        <v>951</v>
      </c>
      <c r="K198">
        <v>10492.23</v>
      </c>
    </row>
    <row r="199" spans="1:11" x14ac:dyDescent="0.25">
      <c r="A199" t="s">
        <v>395</v>
      </c>
      <c r="B199" t="s">
        <v>1115</v>
      </c>
      <c r="C199" t="s">
        <v>396</v>
      </c>
      <c r="D199" t="s">
        <v>50</v>
      </c>
      <c r="E199" t="s">
        <v>942</v>
      </c>
      <c r="F199" t="s">
        <v>903</v>
      </c>
      <c r="G199" t="s">
        <v>28</v>
      </c>
      <c r="H199">
        <v>23</v>
      </c>
      <c r="I199">
        <v>116.68</v>
      </c>
      <c r="J199">
        <v>0</v>
      </c>
      <c r="K199">
        <v>2683.64</v>
      </c>
    </row>
    <row r="200" spans="1:11" x14ac:dyDescent="0.25">
      <c r="A200" t="s">
        <v>397</v>
      </c>
      <c r="B200" t="s">
        <v>1116</v>
      </c>
      <c r="C200" t="s">
        <v>223</v>
      </c>
      <c r="D200" t="s">
        <v>39</v>
      </c>
      <c r="E200" t="s">
        <v>944</v>
      </c>
      <c r="F200" t="s">
        <v>969</v>
      </c>
      <c r="G200" t="s">
        <v>16</v>
      </c>
      <c r="H200">
        <v>24</v>
      </c>
      <c r="I200">
        <v>108.16</v>
      </c>
      <c r="J200">
        <v>15</v>
      </c>
      <c r="K200">
        <v>2206.46</v>
      </c>
    </row>
    <row r="201" spans="1:11" x14ac:dyDescent="0.25">
      <c r="A201" t="s">
        <v>398</v>
      </c>
      <c r="B201" t="s">
        <v>1117</v>
      </c>
      <c r="C201" t="s">
        <v>206</v>
      </c>
      <c r="D201" t="s">
        <v>99</v>
      </c>
      <c r="E201" t="s">
        <v>60</v>
      </c>
      <c r="F201" t="s">
        <v>993</v>
      </c>
      <c r="G201" t="s">
        <v>43</v>
      </c>
      <c r="H201">
        <v>48</v>
      </c>
      <c r="I201">
        <v>318.73</v>
      </c>
      <c r="J201" t="s">
        <v>987</v>
      </c>
      <c r="K201">
        <v>12239.23</v>
      </c>
    </row>
    <row r="202" spans="1:11" x14ac:dyDescent="0.25">
      <c r="A202" t="s">
        <v>399</v>
      </c>
      <c r="B202" t="s">
        <v>1118</v>
      </c>
      <c r="C202" t="s">
        <v>400</v>
      </c>
      <c r="D202" t="s">
        <v>19</v>
      </c>
      <c r="E202" t="s">
        <v>892</v>
      </c>
      <c r="F202" t="s">
        <v>32</v>
      </c>
      <c r="G202" t="s">
        <v>22</v>
      </c>
      <c r="H202">
        <v>34</v>
      </c>
      <c r="I202">
        <v>46.48</v>
      </c>
      <c r="J202">
        <v>10</v>
      </c>
      <c r="K202">
        <v>1422.29</v>
      </c>
    </row>
    <row r="203" spans="1:11" x14ac:dyDescent="0.25">
      <c r="A203" t="s">
        <v>401</v>
      </c>
      <c r="B203" t="s">
        <v>1119</v>
      </c>
      <c r="C203" t="s">
        <v>402</v>
      </c>
      <c r="D203" t="s">
        <v>53</v>
      </c>
      <c r="E203" t="s">
        <v>940</v>
      </c>
      <c r="F203" t="s">
        <v>79</v>
      </c>
      <c r="G203" t="s">
        <v>22</v>
      </c>
      <c r="H203">
        <v>-23</v>
      </c>
      <c r="I203">
        <v>37.85</v>
      </c>
      <c r="J203">
        <v>0</v>
      </c>
      <c r="K203">
        <v>870.55</v>
      </c>
    </row>
    <row r="204" spans="1:11" x14ac:dyDescent="0.25">
      <c r="A204" t="s">
        <v>403</v>
      </c>
      <c r="B204" t="s">
        <v>1120</v>
      </c>
      <c r="C204" t="s">
        <v>404</v>
      </c>
      <c r="E204" t="s">
        <v>956</v>
      </c>
      <c r="F204" t="s">
        <v>15</v>
      </c>
      <c r="G204" t="s">
        <v>16</v>
      </c>
      <c r="H204">
        <v>6</v>
      </c>
      <c r="I204">
        <v>108.77</v>
      </c>
      <c r="J204">
        <v>0.1</v>
      </c>
      <c r="K204">
        <v>587.36</v>
      </c>
    </row>
    <row r="205" spans="1:11" x14ac:dyDescent="0.25">
      <c r="B205" t="s">
        <v>1121</v>
      </c>
      <c r="C205" t="s">
        <v>405</v>
      </c>
      <c r="D205" t="s">
        <v>19</v>
      </c>
      <c r="E205" t="s">
        <v>940</v>
      </c>
      <c r="F205" t="s">
        <v>21</v>
      </c>
      <c r="G205" t="s">
        <v>22</v>
      </c>
      <c r="H205">
        <v>13</v>
      </c>
      <c r="I205">
        <v>80.540000000000006</v>
      </c>
      <c r="J205">
        <v>10</v>
      </c>
      <c r="K205">
        <v>942.32</v>
      </c>
    </row>
    <row r="206" spans="1:11" x14ac:dyDescent="0.25">
      <c r="A206" t="s">
        <v>406</v>
      </c>
      <c r="B206" t="s">
        <v>1122</v>
      </c>
      <c r="C206" t="s">
        <v>407</v>
      </c>
      <c r="D206" t="s">
        <v>76</v>
      </c>
      <c r="E206" t="s">
        <v>956</v>
      </c>
      <c r="F206" t="s">
        <v>962</v>
      </c>
      <c r="G206" t="s">
        <v>43</v>
      </c>
      <c r="H206">
        <v>27</v>
      </c>
      <c r="I206">
        <v>311.81</v>
      </c>
      <c r="J206" t="s">
        <v>987</v>
      </c>
      <c r="K206">
        <v>6735.1</v>
      </c>
    </row>
    <row r="207" spans="1:11" x14ac:dyDescent="0.25">
      <c r="A207" t="s">
        <v>408</v>
      </c>
      <c r="B207" t="s">
        <v>1123</v>
      </c>
      <c r="C207" t="s">
        <v>409</v>
      </c>
      <c r="D207" t="s">
        <v>31</v>
      </c>
      <c r="E207" t="s">
        <v>925</v>
      </c>
      <c r="F207" t="s">
        <v>903</v>
      </c>
      <c r="G207" t="s">
        <v>28</v>
      </c>
      <c r="H207">
        <v>50</v>
      </c>
      <c r="I207">
        <v>129.69</v>
      </c>
      <c r="J207">
        <v>15</v>
      </c>
      <c r="K207">
        <v>5511.82</v>
      </c>
    </row>
    <row r="208" spans="1:11" x14ac:dyDescent="0.25">
      <c r="A208" t="s">
        <v>410</v>
      </c>
      <c r="B208" t="s">
        <v>1124</v>
      </c>
      <c r="C208" t="s">
        <v>411</v>
      </c>
      <c r="D208" t="s">
        <v>67</v>
      </c>
      <c r="E208" t="s">
        <v>889</v>
      </c>
      <c r="F208" t="s">
        <v>962</v>
      </c>
      <c r="G208" t="s">
        <v>43</v>
      </c>
      <c r="H208">
        <v>12</v>
      </c>
      <c r="I208">
        <v>364.97</v>
      </c>
      <c r="J208" t="s">
        <v>951</v>
      </c>
      <c r="K208">
        <v>4379.6400000000003</v>
      </c>
    </row>
    <row r="209" spans="1:11" x14ac:dyDescent="0.25">
      <c r="A209" t="s">
        <v>412</v>
      </c>
      <c r="B209" t="s">
        <v>1125</v>
      </c>
      <c r="C209" t="s">
        <v>413</v>
      </c>
      <c r="D209" t="s">
        <v>67</v>
      </c>
      <c r="E209" t="s">
        <v>913</v>
      </c>
      <c r="F209" t="s">
        <v>27</v>
      </c>
      <c r="G209" t="s">
        <v>28</v>
      </c>
      <c r="H209">
        <v>15</v>
      </c>
      <c r="I209">
        <v>126.87</v>
      </c>
      <c r="J209" t="s">
        <v>951</v>
      </c>
      <c r="K209">
        <v>1903.05</v>
      </c>
    </row>
    <row r="210" spans="1:11" x14ac:dyDescent="0.25">
      <c r="A210" t="s">
        <v>414</v>
      </c>
      <c r="B210" t="s">
        <v>1126</v>
      </c>
      <c r="C210" t="s">
        <v>415</v>
      </c>
      <c r="D210" t="s">
        <v>53</v>
      </c>
      <c r="E210" t="s">
        <v>974</v>
      </c>
      <c r="F210" t="s">
        <v>27</v>
      </c>
      <c r="G210" t="s">
        <v>28</v>
      </c>
      <c r="H210">
        <v>29</v>
      </c>
      <c r="I210">
        <v>132.28</v>
      </c>
      <c r="J210" t="s">
        <v>1025</v>
      </c>
      <c r="K210">
        <v>3452.51</v>
      </c>
    </row>
    <row r="211" spans="1:11" x14ac:dyDescent="0.25">
      <c r="A211" t="s">
        <v>416</v>
      </c>
      <c r="B211" t="s">
        <v>1127</v>
      </c>
      <c r="C211" t="s">
        <v>115</v>
      </c>
      <c r="D211" t="s">
        <v>53</v>
      </c>
      <c r="E211" t="s">
        <v>1072</v>
      </c>
      <c r="F211" t="s">
        <v>945</v>
      </c>
      <c r="G211" t="s">
        <v>55</v>
      </c>
      <c r="H211">
        <v>33</v>
      </c>
      <c r="I211">
        <v>410.91</v>
      </c>
      <c r="J211">
        <v>15</v>
      </c>
      <c r="K211">
        <v>11526.03</v>
      </c>
    </row>
    <row r="212" spans="1:11" x14ac:dyDescent="0.25">
      <c r="A212" t="s">
        <v>417</v>
      </c>
      <c r="B212" t="s">
        <v>1128</v>
      </c>
      <c r="C212" t="s">
        <v>418</v>
      </c>
      <c r="D212" t="s">
        <v>35</v>
      </c>
      <c r="E212" t="s">
        <v>20</v>
      </c>
      <c r="F212" t="s">
        <v>898</v>
      </c>
      <c r="H212">
        <v>5</v>
      </c>
      <c r="I212">
        <v>43.23</v>
      </c>
      <c r="J212">
        <v>0.05</v>
      </c>
      <c r="K212">
        <v>205.34</v>
      </c>
    </row>
    <row r="213" spans="1:11" x14ac:dyDescent="0.25">
      <c r="A213" t="s">
        <v>419</v>
      </c>
      <c r="B213" t="s">
        <v>953</v>
      </c>
      <c r="C213" t="s">
        <v>12</v>
      </c>
      <c r="D213" t="s">
        <v>67</v>
      </c>
      <c r="E213" t="s">
        <v>942</v>
      </c>
      <c r="F213" t="s">
        <v>903</v>
      </c>
      <c r="G213" t="s">
        <v>28</v>
      </c>
      <c r="H213">
        <v>25</v>
      </c>
      <c r="I213">
        <v>128.78</v>
      </c>
      <c r="J213">
        <v>5</v>
      </c>
      <c r="K213">
        <v>3058.52</v>
      </c>
    </row>
    <row r="214" spans="1:11" x14ac:dyDescent="0.25">
      <c r="A214" t="s">
        <v>420</v>
      </c>
      <c r="B214" t="s">
        <v>1129</v>
      </c>
      <c r="C214" t="s">
        <v>111</v>
      </c>
      <c r="D214" t="s">
        <v>35</v>
      </c>
      <c r="E214" t="s">
        <v>60</v>
      </c>
      <c r="F214" t="s">
        <v>945</v>
      </c>
      <c r="G214" t="s">
        <v>55</v>
      </c>
      <c r="H214">
        <v>28</v>
      </c>
      <c r="I214">
        <v>437.36</v>
      </c>
      <c r="J214">
        <v>0</v>
      </c>
      <c r="K214">
        <v>12246.08</v>
      </c>
    </row>
    <row r="215" spans="1:11" x14ac:dyDescent="0.25">
      <c r="A215" t="s">
        <v>421</v>
      </c>
      <c r="B215" t="s">
        <v>1071</v>
      </c>
      <c r="C215" t="s">
        <v>422</v>
      </c>
      <c r="E215" t="s">
        <v>940</v>
      </c>
      <c r="F215" t="s">
        <v>929</v>
      </c>
      <c r="H215">
        <v>4</v>
      </c>
      <c r="I215">
        <v>1222.1199999999999</v>
      </c>
      <c r="J215">
        <v>0</v>
      </c>
      <c r="K215">
        <v>4888.4799999999996</v>
      </c>
    </row>
    <row r="216" spans="1:11" x14ac:dyDescent="0.25">
      <c r="A216" t="s">
        <v>423</v>
      </c>
      <c r="B216" t="s">
        <v>1130</v>
      </c>
      <c r="C216" t="s">
        <v>239</v>
      </c>
      <c r="D216" t="s">
        <v>99</v>
      </c>
      <c r="E216" t="s">
        <v>901</v>
      </c>
      <c r="F216" t="s">
        <v>1001</v>
      </c>
      <c r="G216" t="s">
        <v>22</v>
      </c>
      <c r="H216">
        <v>50</v>
      </c>
      <c r="I216">
        <v>37.57</v>
      </c>
      <c r="J216">
        <v>0</v>
      </c>
      <c r="K216">
        <v>1878.5</v>
      </c>
    </row>
    <row r="217" spans="1:11" x14ac:dyDescent="0.25">
      <c r="A217" t="s">
        <v>424</v>
      </c>
      <c r="B217" t="s">
        <v>1131</v>
      </c>
      <c r="C217" t="s">
        <v>425</v>
      </c>
      <c r="D217" t="s">
        <v>67</v>
      </c>
      <c r="E217" t="s">
        <v>915</v>
      </c>
      <c r="F217" t="s">
        <v>32</v>
      </c>
      <c r="G217" t="s">
        <v>22</v>
      </c>
      <c r="H217">
        <v>35</v>
      </c>
      <c r="I217">
        <v>47.23</v>
      </c>
      <c r="J217" t="s">
        <v>918</v>
      </c>
      <c r="K217">
        <v>1405.09</v>
      </c>
    </row>
    <row r="218" spans="1:11" x14ac:dyDescent="0.25">
      <c r="A218" t="s">
        <v>426</v>
      </c>
      <c r="B218" t="s">
        <v>1132</v>
      </c>
      <c r="C218" t="s">
        <v>427</v>
      </c>
      <c r="E218" t="s">
        <v>892</v>
      </c>
      <c r="F218" t="s">
        <v>993</v>
      </c>
      <c r="G218" t="s">
        <v>43</v>
      </c>
      <c r="H218">
        <v>24</v>
      </c>
      <c r="I218">
        <v>363.88</v>
      </c>
      <c r="J218" t="s">
        <v>951</v>
      </c>
      <c r="K218">
        <v>8733.1200000000008</v>
      </c>
    </row>
    <row r="219" spans="1:11" x14ac:dyDescent="0.25">
      <c r="A219" t="s">
        <v>428</v>
      </c>
      <c r="B219" t="s">
        <v>909</v>
      </c>
      <c r="C219" t="s">
        <v>429</v>
      </c>
      <c r="D219" t="s">
        <v>39</v>
      </c>
      <c r="E219" t="s">
        <v>20</v>
      </c>
      <c r="F219" t="s">
        <v>54</v>
      </c>
      <c r="G219" t="s">
        <v>55</v>
      </c>
      <c r="H219">
        <v>20</v>
      </c>
      <c r="I219">
        <v>428.01</v>
      </c>
      <c r="J219">
        <v>10</v>
      </c>
      <c r="K219">
        <v>7704.18</v>
      </c>
    </row>
    <row r="220" spans="1:11" x14ac:dyDescent="0.25">
      <c r="A220" t="s">
        <v>430</v>
      </c>
      <c r="B220" t="s">
        <v>982</v>
      </c>
      <c r="C220" t="s">
        <v>380</v>
      </c>
      <c r="D220" t="s">
        <v>19</v>
      </c>
      <c r="E220" t="s">
        <v>925</v>
      </c>
      <c r="F220" t="s">
        <v>27</v>
      </c>
      <c r="G220" t="s">
        <v>28</v>
      </c>
      <c r="H220">
        <v>28</v>
      </c>
      <c r="I220">
        <v>117.06</v>
      </c>
      <c r="J220" t="s">
        <v>951</v>
      </c>
      <c r="K220">
        <v>3277.68</v>
      </c>
    </row>
    <row r="221" spans="1:11" x14ac:dyDescent="0.25">
      <c r="A221" t="s">
        <v>431</v>
      </c>
      <c r="B221" t="s">
        <v>1133</v>
      </c>
      <c r="C221" t="s">
        <v>432</v>
      </c>
      <c r="D221" t="s">
        <v>76</v>
      </c>
      <c r="E221" t="s">
        <v>901</v>
      </c>
      <c r="F221" t="s">
        <v>42</v>
      </c>
      <c r="G221" t="s">
        <v>43</v>
      </c>
      <c r="H221">
        <v>8</v>
      </c>
      <c r="I221">
        <v>348.3</v>
      </c>
      <c r="J221">
        <v>0</v>
      </c>
      <c r="K221">
        <v>2786.4</v>
      </c>
    </row>
    <row r="222" spans="1:11" x14ac:dyDescent="0.25">
      <c r="A222" t="s">
        <v>433</v>
      </c>
      <c r="B222" t="s">
        <v>1052</v>
      </c>
      <c r="D222" t="s">
        <v>53</v>
      </c>
      <c r="E222" t="s">
        <v>940</v>
      </c>
      <c r="F222" t="s">
        <v>898</v>
      </c>
      <c r="G222" t="s">
        <v>22</v>
      </c>
      <c r="H222">
        <v>2</v>
      </c>
      <c r="I222">
        <v>40.76</v>
      </c>
      <c r="J222">
        <v>0</v>
      </c>
      <c r="K222">
        <v>81.52</v>
      </c>
    </row>
    <row r="223" spans="1:11" x14ac:dyDescent="0.25">
      <c r="A223" t="s">
        <v>434</v>
      </c>
      <c r="B223" t="s">
        <v>1134</v>
      </c>
      <c r="C223" t="s">
        <v>435</v>
      </c>
      <c r="D223" t="s">
        <v>99</v>
      </c>
      <c r="E223" t="s">
        <v>60</v>
      </c>
      <c r="F223" t="s">
        <v>903</v>
      </c>
      <c r="G223" t="s">
        <v>28</v>
      </c>
      <c r="H223">
        <v>19</v>
      </c>
      <c r="I223">
        <v>114.55</v>
      </c>
      <c r="J223">
        <v>20</v>
      </c>
      <c r="K223">
        <v>1741.16</v>
      </c>
    </row>
    <row r="224" spans="1:11" x14ac:dyDescent="0.25">
      <c r="A224" t="s">
        <v>436</v>
      </c>
      <c r="B224" t="s">
        <v>1135</v>
      </c>
      <c r="C224" t="s">
        <v>223</v>
      </c>
      <c r="D224" t="s">
        <v>99</v>
      </c>
      <c r="E224" t="s">
        <v>889</v>
      </c>
      <c r="F224" t="s">
        <v>969</v>
      </c>
      <c r="G224" t="s">
        <v>16</v>
      </c>
      <c r="H224">
        <v>14</v>
      </c>
      <c r="I224">
        <v>95.46</v>
      </c>
      <c r="J224">
        <v>0</v>
      </c>
      <c r="K224">
        <v>1336.44</v>
      </c>
    </row>
    <row r="225" spans="1:11" x14ac:dyDescent="0.25">
      <c r="A225" t="s">
        <v>437</v>
      </c>
      <c r="B225" t="s">
        <v>1136</v>
      </c>
      <c r="D225" t="s">
        <v>76</v>
      </c>
      <c r="E225" t="s">
        <v>26</v>
      </c>
      <c r="F225" t="s">
        <v>993</v>
      </c>
      <c r="G225" t="s">
        <v>43</v>
      </c>
      <c r="H225">
        <v>12</v>
      </c>
      <c r="I225">
        <v>347.24</v>
      </c>
      <c r="J225">
        <v>0</v>
      </c>
      <c r="K225">
        <v>4166.88</v>
      </c>
    </row>
    <row r="226" spans="1:11" x14ac:dyDescent="0.25">
      <c r="A226" t="s">
        <v>438</v>
      </c>
      <c r="B226" t="s">
        <v>1137</v>
      </c>
      <c r="C226" t="s">
        <v>202</v>
      </c>
      <c r="D226" t="s">
        <v>35</v>
      </c>
      <c r="E226" t="s">
        <v>14</v>
      </c>
      <c r="F226" t="s">
        <v>79</v>
      </c>
      <c r="G226" t="s">
        <v>22</v>
      </c>
      <c r="H226">
        <v>3</v>
      </c>
      <c r="I226">
        <v>33.67</v>
      </c>
      <c r="J226">
        <v>20</v>
      </c>
      <c r="K226">
        <v>80.81</v>
      </c>
    </row>
    <row r="227" spans="1:11" x14ac:dyDescent="0.25">
      <c r="A227" t="s">
        <v>439</v>
      </c>
      <c r="B227" t="s">
        <v>1138</v>
      </c>
      <c r="C227" t="s">
        <v>440</v>
      </c>
      <c r="D227" t="s">
        <v>35</v>
      </c>
      <c r="E227" t="s">
        <v>36</v>
      </c>
      <c r="F227" t="s">
        <v>890</v>
      </c>
      <c r="G227" t="s">
        <v>16</v>
      </c>
      <c r="H227">
        <v>25</v>
      </c>
      <c r="I227">
        <v>87.89</v>
      </c>
      <c r="J227">
        <v>0</v>
      </c>
      <c r="K227">
        <v>2197.25</v>
      </c>
    </row>
    <row r="228" spans="1:11" x14ac:dyDescent="0.25">
      <c r="A228" t="s">
        <v>441</v>
      </c>
      <c r="B228" t="s">
        <v>1139</v>
      </c>
      <c r="C228" t="s">
        <v>442</v>
      </c>
      <c r="D228" t="s">
        <v>25</v>
      </c>
      <c r="E228" t="s">
        <v>26</v>
      </c>
      <c r="F228" t="s">
        <v>929</v>
      </c>
      <c r="G228" t="s">
        <v>43</v>
      </c>
      <c r="H228">
        <v>37</v>
      </c>
      <c r="I228">
        <v>1204.9000000000001</v>
      </c>
      <c r="J228" t="s">
        <v>918</v>
      </c>
      <c r="K228">
        <v>37894.11</v>
      </c>
    </row>
    <row r="229" spans="1:11" x14ac:dyDescent="0.25">
      <c r="A229" t="s">
        <v>443</v>
      </c>
      <c r="B229" t="s">
        <v>963</v>
      </c>
      <c r="C229" t="s">
        <v>190</v>
      </c>
      <c r="D229" t="s">
        <v>39</v>
      </c>
      <c r="E229" t="s">
        <v>1072</v>
      </c>
      <c r="F229" t="s">
        <v>82</v>
      </c>
      <c r="G229" t="s">
        <v>43</v>
      </c>
      <c r="H229">
        <v>22</v>
      </c>
      <c r="I229">
        <v>1127.9100000000001</v>
      </c>
      <c r="J229" t="s">
        <v>951</v>
      </c>
      <c r="K229">
        <v>24814.02</v>
      </c>
    </row>
    <row r="230" spans="1:11" x14ac:dyDescent="0.25">
      <c r="A230" t="s">
        <v>444</v>
      </c>
      <c r="B230" t="s">
        <v>1140</v>
      </c>
      <c r="C230" t="s">
        <v>168</v>
      </c>
      <c r="D230" t="s">
        <v>50</v>
      </c>
      <c r="E230" t="s">
        <v>944</v>
      </c>
      <c r="F230" t="s">
        <v>890</v>
      </c>
      <c r="G230" t="s">
        <v>16</v>
      </c>
      <c r="H230">
        <v>37</v>
      </c>
      <c r="I230">
        <v>108.99</v>
      </c>
      <c r="J230">
        <v>20</v>
      </c>
      <c r="K230">
        <v>3226.1</v>
      </c>
    </row>
    <row r="231" spans="1:11" x14ac:dyDescent="0.25">
      <c r="A231" t="s">
        <v>445</v>
      </c>
      <c r="B231" t="s">
        <v>1141</v>
      </c>
      <c r="C231" t="s">
        <v>446</v>
      </c>
      <c r="D231" t="s">
        <v>35</v>
      </c>
      <c r="E231" t="s">
        <v>892</v>
      </c>
      <c r="F231" t="s">
        <v>929</v>
      </c>
      <c r="G231" t="s">
        <v>43</v>
      </c>
      <c r="H231">
        <v>50</v>
      </c>
      <c r="I231">
        <v>1084.5999999999999</v>
      </c>
      <c r="J231">
        <v>0</v>
      </c>
      <c r="K231">
        <v>54230</v>
      </c>
    </row>
    <row r="232" spans="1:11" x14ac:dyDescent="0.25">
      <c r="A232" t="s">
        <v>447</v>
      </c>
      <c r="B232" t="s">
        <v>1142</v>
      </c>
      <c r="C232" t="s">
        <v>196</v>
      </c>
      <c r="D232" t="s">
        <v>31</v>
      </c>
      <c r="E232" t="s">
        <v>20</v>
      </c>
      <c r="F232" t="s">
        <v>893</v>
      </c>
      <c r="G232" t="s">
        <v>22</v>
      </c>
      <c r="H232">
        <v>4</v>
      </c>
      <c r="I232">
        <v>91.99</v>
      </c>
      <c r="J232">
        <v>20</v>
      </c>
      <c r="K232">
        <v>294.37</v>
      </c>
    </row>
    <row r="233" spans="1:11" x14ac:dyDescent="0.25">
      <c r="A233" t="s">
        <v>448</v>
      </c>
      <c r="B233" t="s">
        <v>1143</v>
      </c>
      <c r="C233" t="s">
        <v>418</v>
      </c>
      <c r="D233" t="s">
        <v>39</v>
      </c>
      <c r="E233" t="s">
        <v>942</v>
      </c>
      <c r="F233" t="s">
        <v>906</v>
      </c>
      <c r="G233" t="s">
        <v>43</v>
      </c>
      <c r="H233">
        <v>21</v>
      </c>
      <c r="I233">
        <v>292.52</v>
      </c>
      <c r="J233" t="s">
        <v>987</v>
      </c>
      <c r="K233">
        <v>4914.34</v>
      </c>
    </row>
    <row r="234" spans="1:11" x14ac:dyDescent="0.25">
      <c r="A234" t="s">
        <v>449</v>
      </c>
      <c r="B234" t="s">
        <v>1144</v>
      </c>
      <c r="C234" t="s">
        <v>450</v>
      </c>
      <c r="D234" t="s">
        <v>31</v>
      </c>
      <c r="E234" t="s">
        <v>913</v>
      </c>
      <c r="F234" t="s">
        <v>896</v>
      </c>
      <c r="G234" t="s">
        <v>28</v>
      </c>
      <c r="H234">
        <v>29</v>
      </c>
      <c r="I234">
        <v>118.59</v>
      </c>
      <c r="J234">
        <v>0</v>
      </c>
      <c r="K234">
        <v>3439.11</v>
      </c>
    </row>
    <row r="235" spans="1:11" x14ac:dyDescent="0.25">
      <c r="A235" t="s">
        <v>451</v>
      </c>
      <c r="B235" t="s">
        <v>1145</v>
      </c>
      <c r="C235" t="s">
        <v>452</v>
      </c>
      <c r="D235" t="s">
        <v>50</v>
      </c>
      <c r="E235" t="s">
        <v>956</v>
      </c>
      <c r="F235" t="s">
        <v>82</v>
      </c>
      <c r="G235" t="s">
        <v>43</v>
      </c>
      <c r="H235">
        <v>25</v>
      </c>
      <c r="I235">
        <v>1358.73</v>
      </c>
      <c r="J235">
        <v>20</v>
      </c>
      <c r="K235">
        <v>27174.6</v>
      </c>
    </row>
    <row r="236" spans="1:11" x14ac:dyDescent="0.25">
      <c r="A236" t="s">
        <v>453</v>
      </c>
      <c r="B236" t="s">
        <v>1146</v>
      </c>
      <c r="C236" t="s">
        <v>162</v>
      </c>
      <c r="D236" t="s">
        <v>76</v>
      </c>
      <c r="E236" t="s">
        <v>36</v>
      </c>
      <c r="F236" t="s">
        <v>962</v>
      </c>
      <c r="G236" t="s">
        <v>43</v>
      </c>
      <c r="H236">
        <v>48</v>
      </c>
      <c r="I236">
        <v>358.27</v>
      </c>
      <c r="J236">
        <v>0</v>
      </c>
      <c r="K236">
        <v>17196.96</v>
      </c>
    </row>
    <row r="237" spans="1:11" x14ac:dyDescent="0.25">
      <c r="A237" t="s">
        <v>454</v>
      </c>
      <c r="B237" t="s">
        <v>1147</v>
      </c>
      <c r="C237" t="s">
        <v>455</v>
      </c>
      <c r="D237" t="s">
        <v>31</v>
      </c>
      <c r="E237" t="s">
        <v>889</v>
      </c>
      <c r="F237" t="s">
        <v>947</v>
      </c>
      <c r="G237" t="s">
        <v>22</v>
      </c>
      <c r="H237">
        <v>41</v>
      </c>
      <c r="I237">
        <v>48.11</v>
      </c>
      <c r="J237" t="s">
        <v>1025</v>
      </c>
      <c r="K237">
        <v>1775.26</v>
      </c>
    </row>
    <row r="238" spans="1:11" x14ac:dyDescent="0.25">
      <c r="A238" t="s">
        <v>456</v>
      </c>
      <c r="B238" t="s">
        <v>1148</v>
      </c>
      <c r="C238" t="s">
        <v>404</v>
      </c>
      <c r="D238" t="s">
        <v>50</v>
      </c>
      <c r="E238" t="s">
        <v>940</v>
      </c>
      <c r="F238" t="s">
        <v>1001</v>
      </c>
      <c r="G238" t="s">
        <v>22</v>
      </c>
      <c r="H238">
        <v>44</v>
      </c>
      <c r="I238">
        <v>39.17</v>
      </c>
      <c r="J238">
        <v>5</v>
      </c>
      <c r="K238">
        <v>1637.31</v>
      </c>
    </row>
    <row r="239" spans="1:11" x14ac:dyDescent="0.25">
      <c r="A239" t="s">
        <v>457</v>
      </c>
      <c r="B239" t="s">
        <v>1149</v>
      </c>
      <c r="C239" t="s">
        <v>442</v>
      </c>
      <c r="D239" t="s">
        <v>35</v>
      </c>
      <c r="E239" t="s">
        <v>913</v>
      </c>
      <c r="F239" t="s">
        <v>931</v>
      </c>
      <c r="G239" t="s">
        <v>43</v>
      </c>
      <c r="H239">
        <v>44</v>
      </c>
      <c r="I239">
        <v>1303.74</v>
      </c>
      <c r="J239">
        <v>10</v>
      </c>
      <c r="K239">
        <v>51628.1</v>
      </c>
    </row>
    <row r="240" spans="1:11" x14ac:dyDescent="0.25">
      <c r="A240" t="s">
        <v>458</v>
      </c>
      <c r="B240" t="s">
        <v>1150</v>
      </c>
      <c r="C240" t="s">
        <v>459</v>
      </c>
      <c r="D240" t="s">
        <v>76</v>
      </c>
      <c r="E240" t="s">
        <v>974</v>
      </c>
      <c r="F240" t="s">
        <v>15</v>
      </c>
      <c r="G240" t="s">
        <v>16</v>
      </c>
      <c r="H240">
        <v>32</v>
      </c>
      <c r="I240">
        <v>97.43</v>
      </c>
      <c r="J240">
        <v>0</v>
      </c>
      <c r="K240">
        <v>3117.76</v>
      </c>
    </row>
    <row r="241" spans="1:11" x14ac:dyDescent="0.25">
      <c r="A241" t="s">
        <v>460</v>
      </c>
      <c r="B241" t="s">
        <v>1151</v>
      </c>
      <c r="C241" t="s">
        <v>461</v>
      </c>
      <c r="D241" t="s">
        <v>53</v>
      </c>
      <c r="E241" t="s">
        <v>913</v>
      </c>
      <c r="F241" t="s">
        <v>911</v>
      </c>
      <c r="G241" t="s">
        <v>55</v>
      </c>
      <c r="H241">
        <v>11</v>
      </c>
      <c r="I241">
        <v>438.95</v>
      </c>
      <c r="J241">
        <v>0</v>
      </c>
      <c r="K241">
        <v>4828.45</v>
      </c>
    </row>
    <row r="242" spans="1:11" x14ac:dyDescent="0.25">
      <c r="A242" t="s">
        <v>462</v>
      </c>
      <c r="B242" t="s">
        <v>1152</v>
      </c>
      <c r="C242" t="s">
        <v>402</v>
      </c>
      <c r="D242" t="s">
        <v>35</v>
      </c>
      <c r="E242" t="s">
        <v>905</v>
      </c>
      <c r="F242" t="s">
        <v>21</v>
      </c>
      <c r="G242" t="s">
        <v>22</v>
      </c>
      <c r="H242">
        <v>38</v>
      </c>
      <c r="I242">
        <v>78.599999999999994</v>
      </c>
      <c r="J242">
        <v>0</v>
      </c>
      <c r="K242">
        <v>2986.8</v>
      </c>
    </row>
    <row r="243" spans="1:11" x14ac:dyDescent="0.25">
      <c r="A243" t="s">
        <v>463</v>
      </c>
      <c r="B243" t="s">
        <v>1153</v>
      </c>
      <c r="C243" t="s">
        <v>151</v>
      </c>
      <c r="D243" t="s">
        <v>99</v>
      </c>
      <c r="E243" t="s">
        <v>905</v>
      </c>
      <c r="F243" t="s">
        <v>993</v>
      </c>
      <c r="G243" t="s">
        <v>43</v>
      </c>
      <c r="H243">
        <v>24</v>
      </c>
      <c r="I243">
        <v>350.09</v>
      </c>
      <c r="J243">
        <v>10</v>
      </c>
      <c r="K243">
        <v>7561.94</v>
      </c>
    </row>
    <row r="244" spans="1:11" x14ac:dyDescent="0.25">
      <c r="A244" t="s">
        <v>464</v>
      </c>
      <c r="B244" t="s">
        <v>1154</v>
      </c>
      <c r="C244" t="s">
        <v>389</v>
      </c>
      <c r="D244" t="s">
        <v>50</v>
      </c>
      <c r="E244" t="s">
        <v>974</v>
      </c>
      <c r="F244" t="s">
        <v>945</v>
      </c>
      <c r="G244" t="s">
        <v>55</v>
      </c>
      <c r="H244">
        <v>19</v>
      </c>
      <c r="I244">
        <v>480.29</v>
      </c>
      <c r="J244" t="s">
        <v>951</v>
      </c>
      <c r="K244">
        <v>9125.51</v>
      </c>
    </row>
    <row r="245" spans="1:11" x14ac:dyDescent="0.25">
      <c r="A245" t="s">
        <v>465</v>
      </c>
      <c r="B245" t="s">
        <v>1155</v>
      </c>
      <c r="C245" t="s">
        <v>466</v>
      </c>
      <c r="D245" t="s">
        <v>50</v>
      </c>
      <c r="E245" t="s">
        <v>26</v>
      </c>
      <c r="F245" t="s">
        <v>21</v>
      </c>
      <c r="G245" t="s">
        <v>22</v>
      </c>
      <c r="H245">
        <v>30</v>
      </c>
      <c r="I245">
        <v>88.26</v>
      </c>
      <c r="J245">
        <v>0</v>
      </c>
      <c r="K245">
        <v>2647.8</v>
      </c>
    </row>
    <row r="246" spans="1:11" x14ac:dyDescent="0.25">
      <c r="A246" t="s">
        <v>467</v>
      </c>
      <c r="B246" t="s">
        <v>1091</v>
      </c>
      <c r="C246" t="s">
        <v>135</v>
      </c>
      <c r="D246" t="s">
        <v>19</v>
      </c>
      <c r="E246" t="s">
        <v>956</v>
      </c>
      <c r="F246" t="s">
        <v>927</v>
      </c>
      <c r="G246" t="s">
        <v>22</v>
      </c>
      <c r="H246">
        <v>15</v>
      </c>
      <c r="I246">
        <v>36.17</v>
      </c>
      <c r="J246">
        <v>15</v>
      </c>
      <c r="K246">
        <v>461.17</v>
      </c>
    </row>
    <row r="247" spans="1:11" x14ac:dyDescent="0.25">
      <c r="A247" t="s">
        <v>468</v>
      </c>
      <c r="B247" t="s">
        <v>1156</v>
      </c>
      <c r="C247" t="s">
        <v>469</v>
      </c>
      <c r="D247" t="s">
        <v>19</v>
      </c>
      <c r="E247" t="s">
        <v>967</v>
      </c>
      <c r="F247" t="s">
        <v>947</v>
      </c>
      <c r="G247" t="s">
        <v>22</v>
      </c>
      <c r="H247">
        <v>46</v>
      </c>
      <c r="I247">
        <v>51.24</v>
      </c>
      <c r="J247" t="s">
        <v>987</v>
      </c>
      <c r="K247">
        <v>1885.63</v>
      </c>
    </row>
    <row r="248" spans="1:11" x14ac:dyDescent="0.25">
      <c r="A248" t="s">
        <v>470</v>
      </c>
      <c r="B248" t="s">
        <v>1157</v>
      </c>
      <c r="C248" t="s">
        <v>73</v>
      </c>
      <c r="D248" t="s">
        <v>39</v>
      </c>
      <c r="E248" t="s">
        <v>60</v>
      </c>
      <c r="F248" t="s">
        <v>969</v>
      </c>
      <c r="G248" t="s">
        <v>16</v>
      </c>
      <c r="H248">
        <v>6</v>
      </c>
      <c r="I248">
        <v>93.22</v>
      </c>
      <c r="J248">
        <v>0.1</v>
      </c>
      <c r="K248">
        <v>503.39</v>
      </c>
    </row>
    <row r="249" spans="1:11" x14ac:dyDescent="0.25">
      <c r="A249" t="s">
        <v>471</v>
      </c>
      <c r="B249" t="s">
        <v>1034</v>
      </c>
      <c r="C249" t="s">
        <v>472</v>
      </c>
      <c r="D249" t="s">
        <v>35</v>
      </c>
      <c r="E249" t="s">
        <v>889</v>
      </c>
      <c r="F249" t="s">
        <v>27</v>
      </c>
      <c r="G249" t="s">
        <v>28</v>
      </c>
      <c r="H249">
        <v>31</v>
      </c>
      <c r="I249">
        <v>128.72</v>
      </c>
      <c r="J249">
        <v>0</v>
      </c>
      <c r="K249">
        <v>3990.32</v>
      </c>
    </row>
    <row r="250" spans="1:11" x14ac:dyDescent="0.25">
      <c r="A250" t="s">
        <v>473</v>
      </c>
      <c r="B250" t="s">
        <v>1158</v>
      </c>
      <c r="C250" t="s">
        <v>474</v>
      </c>
      <c r="D250" t="s">
        <v>67</v>
      </c>
      <c r="E250" t="s">
        <v>915</v>
      </c>
      <c r="F250" t="s">
        <v>890</v>
      </c>
      <c r="G250" t="s">
        <v>16</v>
      </c>
      <c r="H250">
        <v>29</v>
      </c>
      <c r="I250">
        <v>98.51</v>
      </c>
      <c r="J250">
        <v>0</v>
      </c>
      <c r="K250">
        <v>2856.79</v>
      </c>
    </row>
    <row r="251" spans="1:11" x14ac:dyDescent="0.25">
      <c r="A251" t="s">
        <v>475</v>
      </c>
      <c r="B251" t="s">
        <v>1159</v>
      </c>
      <c r="C251" t="s">
        <v>476</v>
      </c>
      <c r="D251" t="s">
        <v>35</v>
      </c>
      <c r="E251" t="s">
        <v>36</v>
      </c>
      <c r="F251" t="s">
        <v>32</v>
      </c>
      <c r="G251" t="s">
        <v>22</v>
      </c>
      <c r="H251">
        <v>8</v>
      </c>
      <c r="I251">
        <v>40.54</v>
      </c>
      <c r="J251">
        <v>10</v>
      </c>
      <c r="K251">
        <v>291.89</v>
      </c>
    </row>
    <row r="252" spans="1:11" x14ac:dyDescent="0.25">
      <c r="A252" t="s">
        <v>477</v>
      </c>
      <c r="B252" t="s">
        <v>1160</v>
      </c>
      <c r="C252" t="s">
        <v>446</v>
      </c>
      <c r="D252" t="s">
        <v>99</v>
      </c>
      <c r="E252" t="s">
        <v>36</v>
      </c>
      <c r="F252" t="s">
        <v>1001</v>
      </c>
      <c r="G252" t="s">
        <v>22</v>
      </c>
      <c r="H252">
        <v>34</v>
      </c>
      <c r="I252">
        <v>37.36</v>
      </c>
      <c r="J252">
        <v>20</v>
      </c>
      <c r="K252">
        <v>1016.19</v>
      </c>
    </row>
    <row r="253" spans="1:11" x14ac:dyDescent="0.25">
      <c r="A253" t="s">
        <v>478</v>
      </c>
      <c r="B253" t="s">
        <v>1136</v>
      </c>
      <c r="C253" t="s">
        <v>479</v>
      </c>
      <c r="D253" t="s">
        <v>99</v>
      </c>
      <c r="E253" t="s">
        <v>967</v>
      </c>
      <c r="F253" t="s">
        <v>903</v>
      </c>
      <c r="G253" t="s">
        <v>28</v>
      </c>
      <c r="H253">
        <v>22</v>
      </c>
      <c r="I253">
        <v>136.44999999999999</v>
      </c>
      <c r="J253">
        <v>5</v>
      </c>
      <c r="K253">
        <v>2851.8</v>
      </c>
    </row>
    <row r="254" spans="1:11" x14ac:dyDescent="0.25">
      <c r="A254" t="s">
        <v>480</v>
      </c>
      <c r="B254" t="s">
        <v>1161</v>
      </c>
      <c r="C254" t="s">
        <v>481</v>
      </c>
      <c r="D254" t="s">
        <v>35</v>
      </c>
      <c r="E254" t="s">
        <v>892</v>
      </c>
      <c r="F254" t="s">
        <v>934</v>
      </c>
      <c r="G254" t="s">
        <v>22</v>
      </c>
      <c r="H254">
        <v>8</v>
      </c>
      <c r="I254">
        <v>37.97</v>
      </c>
      <c r="J254">
        <v>0</v>
      </c>
      <c r="K254">
        <v>303.76</v>
      </c>
    </row>
    <row r="255" spans="1:11" x14ac:dyDescent="0.25">
      <c r="A255" t="s">
        <v>482</v>
      </c>
      <c r="B255" t="s">
        <v>902</v>
      </c>
      <c r="C255" t="s">
        <v>483</v>
      </c>
      <c r="D255" t="s">
        <v>39</v>
      </c>
      <c r="E255" t="s">
        <v>26</v>
      </c>
      <c r="F255" t="s">
        <v>54</v>
      </c>
      <c r="G255" t="s">
        <v>55</v>
      </c>
      <c r="H255">
        <v>4</v>
      </c>
      <c r="I255">
        <v>458.39</v>
      </c>
      <c r="J255" t="s">
        <v>899</v>
      </c>
      <c r="K255">
        <v>1741.88</v>
      </c>
    </row>
    <row r="256" spans="1:11" x14ac:dyDescent="0.25">
      <c r="A256" t="s">
        <v>484</v>
      </c>
      <c r="B256" t="s">
        <v>1162</v>
      </c>
      <c r="C256" t="s">
        <v>96</v>
      </c>
      <c r="D256" t="s">
        <v>67</v>
      </c>
      <c r="E256" t="s">
        <v>895</v>
      </c>
      <c r="F256" t="s">
        <v>898</v>
      </c>
      <c r="G256" t="s">
        <v>22</v>
      </c>
      <c r="H256">
        <v>25</v>
      </c>
      <c r="I256">
        <v>44.31</v>
      </c>
      <c r="J256">
        <v>0.15</v>
      </c>
      <c r="K256">
        <v>941.59</v>
      </c>
    </row>
    <row r="257" spans="1:11" x14ac:dyDescent="0.25">
      <c r="A257" t="s">
        <v>485</v>
      </c>
      <c r="B257" t="s">
        <v>1163</v>
      </c>
      <c r="C257" t="s">
        <v>486</v>
      </c>
      <c r="D257" t="s">
        <v>76</v>
      </c>
      <c r="E257" t="s">
        <v>905</v>
      </c>
      <c r="F257" t="s">
        <v>969</v>
      </c>
      <c r="G257" t="s">
        <v>16</v>
      </c>
      <c r="H257">
        <v>41</v>
      </c>
      <c r="I257">
        <v>104.71</v>
      </c>
      <c r="J257">
        <v>0</v>
      </c>
      <c r="K257">
        <v>4293.1099999999997</v>
      </c>
    </row>
    <row r="258" spans="1:11" x14ac:dyDescent="0.25">
      <c r="A258" t="s">
        <v>487</v>
      </c>
      <c r="B258" t="s">
        <v>1007</v>
      </c>
      <c r="C258" t="s">
        <v>488</v>
      </c>
      <c r="D258" t="s">
        <v>76</v>
      </c>
      <c r="E258" t="s">
        <v>895</v>
      </c>
      <c r="F258" t="s">
        <v>993</v>
      </c>
      <c r="G258" t="s">
        <v>43</v>
      </c>
      <c r="H258">
        <v>50</v>
      </c>
      <c r="I258">
        <v>345.63</v>
      </c>
      <c r="J258">
        <v>5</v>
      </c>
      <c r="K258">
        <v>16417.419999999998</v>
      </c>
    </row>
    <row r="259" spans="1:11" x14ac:dyDescent="0.25">
      <c r="A259" t="s">
        <v>489</v>
      </c>
      <c r="B259" t="s">
        <v>1131</v>
      </c>
      <c r="C259" t="s">
        <v>490</v>
      </c>
      <c r="D259" t="s">
        <v>19</v>
      </c>
      <c r="E259" t="s">
        <v>940</v>
      </c>
      <c r="F259" t="s">
        <v>54</v>
      </c>
      <c r="G259" t="s">
        <v>55</v>
      </c>
      <c r="H259">
        <v>14</v>
      </c>
      <c r="I259">
        <v>440.3</v>
      </c>
      <c r="J259" t="s">
        <v>951</v>
      </c>
      <c r="K259">
        <v>6164.2</v>
      </c>
    </row>
    <row r="260" spans="1:11" x14ac:dyDescent="0.25">
      <c r="A260" t="s">
        <v>491</v>
      </c>
      <c r="B260" t="s">
        <v>1164</v>
      </c>
      <c r="C260" t="s">
        <v>492</v>
      </c>
      <c r="D260" t="s">
        <v>31</v>
      </c>
      <c r="E260" t="s">
        <v>36</v>
      </c>
      <c r="F260" t="s">
        <v>947</v>
      </c>
      <c r="G260" t="s">
        <v>22</v>
      </c>
      <c r="H260">
        <v>37</v>
      </c>
      <c r="I260">
        <v>49.15</v>
      </c>
      <c r="J260" t="s">
        <v>951</v>
      </c>
      <c r="K260">
        <v>1818.55</v>
      </c>
    </row>
    <row r="261" spans="1:11" x14ac:dyDescent="0.25">
      <c r="A261" t="s">
        <v>493</v>
      </c>
      <c r="B261" t="s">
        <v>1165</v>
      </c>
      <c r="C261" t="s">
        <v>494</v>
      </c>
      <c r="D261" t="s">
        <v>50</v>
      </c>
      <c r="E261" t="s">
        <v>901</v>
      </c>
      <c r="F261" t="s">
        <v>903</v>
      </c>
      <c r="G261" t="s">
        <v>28</v>
      </c>
      <c r="H261">
        <v>35</v>
      </c>
      <c r="I261">
        <v>114.94</v>
      </c>
      <c r="J261">
        <v>15</v>
      </c>
      <c r="K261">
        <v>3419.46</v>
      </c>
    </row>
    <row r="262" spans="1:11" x14ac:dyDescent="0.25">
      <c r="A262" t="s">
        <v>495</v>
      </c>
      <c r="B262" t="s">
        <v>1166</v>
      </c>
      <c r="C262" t="s">
        <v>226</v>
      </c>
      <c r="D262" t="s">
        <v>19</v>
      </c>
      <c r="E262" t="s">
        <v>26</v>
      </c>
      <c r="F262" t="s">
        <v>983</v>
      </c>
      <c r="G262" t="s">
        <v>22</v>
      </c>
      <c r="H262">
        <v>26</v>
      </c>
      <c r="I262">
        <v>84.33</v>
      </c>
      <c r="J262">
        <v>0</v>
      </c>
      <c r="K262">
        <v>2192.58</v>
      </c>
    </row>
    <row r="263" spans="1:11" x14ac:dyDescent="0.25">
      <c r="A263" t="s">
        <v>496</v>
      </c>
      <c r="B263" t="s">
        <v>1167</v>
      </c>
      <c r="C263" t="s">
        <v>380</v>
      </c>
      <c r="D263" t="s">
        <v>99</v>
      </c>
      <c r="E263" t="s">
        <v>915</v>
      </c>
      <c r="F263" t="s">
        <v>906</v>
      </c>
      <c r="G263" t="s">
        <v>43</v>
      </c>
      <c r="H263">
        <v>28</v>
      </c>
      <c r="I263">
        <v>364.97</v>
      </c>
      <c r="J263">
        <v>10</v>
      </c>
      <c r="K263">
        <v>9197.24</v>
      </c>
    </row>
    <row r="264" spans="1:11" x14ac:dyDescent="0.25">
      <c r="A264" t="s">
        <v>497</v>
      </c>
      <c r="B264" t="s">
        <v>1085</v>
      </c>
      <c r="C264" t="s">
        <v>498</v>
      </c>
      <c r="D264" t="s">
        <v>50</v>
      </c>
      <c r="E264" t="s">
        <v>913</v>
      </c>
      <c r="F264" t="s">
        <v>32</v>
      </c>
      <c r="G264" t="s">
        <v>22</v>
      </c>
      <c r="H264">
        <v>33</v>
      </c>
      <c r="I264">
        <v>41.82</v>
      </c>
      <c r="J264">
        <v>0</v>
      </c>
      <c r="K264">
        <v>1380.06</v>
      </c>
    </row>
    <row r="265" spans="1:11" x14ac:dyDescent="0.25">
      <c r="A265" t="s">
        <v>499</v>
      </c>
      <c r="B265" t="s">
        <v>959</v>
      </c>
      <c r="C265" t="s">
        <v>242</v>
      </c>
      <c r="D265" t="s">
        <v>76</v>
      </c>
      <c r="E265" t="s">
        <v>26</v>
      </c>
      <c r="F265" t="s">
        <v>79</v>
      </c>
      <c r="G265" t="s">
        <v>22</v>
      </c>
      <c r="H265">
        <v>8</v>
      </c>
      <c r="I265">
        <v>35.69</v>
      </c>
      <c r="J265">
        <v>10</v>
      </c>
      <c r="K265">
        <v>256.97000000000003</v>
      </c>
    </row>
    <row r="266" spans="1:11" x14ac:dyDescent="0.25">
      <c r="A266" t="s">
        <v>500</v>
      </c>
      <c r="B266" t="s">
        <v>1168</v>
      </c>
      <c r="C266" t="s">
        <v>334</v>
      </c>
      <c r="D266" t="s">
        <v>31</v>
      </c>
      <c r="E266" t="s">
        <v>915</v>
      </c>
      <c r="F266" t="s">
        <v>27</v>
      </c>
      <c r="G266" t="s">
        <v>28</v>
      </c>
      <c r="H266">
        <v>39</v>
      </c>
      <c r="I266">
        <v>130.88999999999999</v>
      </c>
      <c r="J266">
        <v>5</v>
      </c>
      <c r="K266">
        <v>4849.47</v>
      </c>
    </row>
    <row r="267" spans="1:11" x14ac:dyDescent="0.25">
      <c r="A267" t="s">
        <v>501</v>
      </c>
      <c r="B267" t="s">
        <v>1169</v>
      </c>
      <c r="C267" t="s">
        <v>226</v>
      </c>
      <c r="D267" t="s">
        <v>39</v>
      </c>
      <c r="E267" t="s">
        <v>26</v>
      </c>
      <c r="F267" t="s">
        <v>896</v>
      </c>
      <c r="G267" t="s">
        <v>28</v>
      </c>
      <c r="H267">
        <v>34</v>
      </c>
      <c r="I267">
        <v>112.02</v>
      </c>
      <c r="K267">
        <v>3808.68</v>
      </c>
    </row>
    <row r="268" spans="1:11" x14ac:dyDescent="0.25">
      <c r="A268" t="s">
        <v>502</v>
      </c>
      <c r="B268" t="s">
        <v>1170</v>
      </c>
      <c r="C268" t="s">
        <v>503</v>
      </c>
      <c r="D268" t="s">
        <v>39</v>
      </c>
      <c r="E268" t="s">
        <v>942</v>
      </c>
      <c r="F268" t="s">
        <v>54</v>
      </c>
      <c r="G268" t="s">
        <v>55</v>
      </c>
      <c r="H268">
        <v>32</v>
      </c>
      <c r="I268">
        <v>428.18</v>
      </c>
      <c r="J268">
        <v>0</v>
      </c>
      <c r="K268">
        <v>13701.76</v>
      </c>
    </row>
    <row r="269" spans="1:11" x14ac:dyDescent="0.25">
      <c r="A269" t="s">
        <v>393</v>
      </c>
      <c r="B269" t="s">
        <v>1114</v>
      </c>
      <c r="C269" t="s">
        <v>394</v>
      </c>
      <c r="D269" t="s">
        <v>76</v>
      </c>
      <c r="E269" t="s">
        <v>956</v>
      </c>
      <c r="F269" t="s">
        <v>945</v>
      </c>
      <c r="G269" t="s">
        <v>55</v>
      </c>
      <c r="H269">
        <v>21</v>
      </c>
      <c r="I269">
        <v>499.63</v>
      </c>
      <c r="J269">
        <v>0</v>
      </c>
      <c r="K269">
        <v>10492.23</v>
      </c>
    </row>
    <row r="270" spans="1:11" x14ac:dyDescent="0.25">
      <c r="A270" t="s">
        <v>504</v>
      </c>
      <c r="B270" t="s">
        <v>1171</v>
      </c>
      <c r="C270" t="s">
        <v>505</v>
      </c>
      <c r="D270" t="s">
        <v>67</v>
      </c>
      <c r="E270" t="s">
        <v>14</v>
      </c>
      <c r="F270" t="s">
        <v>969</v>
      </c>
      <c r="G270" t="s">
        <v>16</v>
      </c>
      <c r="H270">
        <v>10</v>
      </c>
      <c r="I270">
        <v>89.61</v>
      </c>
      <c r="J270">
        <v>0</v>
      </c>
      <c r="K270">
        <v>896.1</v>
      </c>
    </row>
    <row r="271" spans="1:11" x14ac:dyDescent="0.25">
      <c r="A271" t="s">
        <v>506</v>
      </c>
      <c r="B271" t="s">
        <v>1172</v>
      </c>
      <c r="C271" t="s">
        <v>208</v>
      </c>
      <c r="D271" t="s">
        <v>35</v>
      </c>
      <c r="E271" t="s">
        <v>974</v>
      </c>
      <c r="F271" t="s">
        <v>939</v>
      </c>
      <c r="G271" t="s">
        <v>43</v>
      </c>
      <c r="H271">
        <v>42</v>
      </c>
      <c r="I271">
        <v>1137.1400000000001</v>
      </c>
      <c r="J271">
        <v>15</v>
      </c>
      <c r="K271">
        <v>40595.9</v>
      </c>
    </row>
    <row r="272" spans="1:11" x14ac:dyDescent="0.25">
      <c r="A272" t="s">
        <v>507</v>
      </c>
      <c r="B272" t="s">
        <v>1008</v>
      </c>
      <c r="C272" t="s">
        <v>508</v>
      </c>
      <c r="D272" t="s">
        <v>35</v>
      </c>
      <c r="E272" t="s">
        <v>1072</v>
      </c>
      <c r="F272" t="s">
        <v>79</v>
      </c>
      <c r="G272" t="s">
        <v>22</v>
      </c>
      <c r="H272">
        <v>23</v>
      </c>
      <c r="I272">
        <v>32.81</v>
      </c>
      <c r="J272" t="s">
        <v>951</v>
      </c>
      <c r="K272">
        <v>754.63</v>
      </c>
    </row>
    <row r="273" spans="1:11" x14ac:dyDescent="0.25">
      <c r="A273" t="s">
        <v>509</v>
      </c>
      <c r="B273" t="s">
        <v>1173</v>
      </c>
      <c r="C273" t="s">
        <v>407</v>
      </c>
      <c r="D273" t="s">
        <v>35</v>
      </c>
      <c r="E273" t="s">
        <v>895</v>
      </c>
      <c r="F273" t="s">
        <v>993</v>
      </c>
      <c r="G273" t="s">
        <v>43</v>
      </c>
      <c r="H273">
        <v>31</v>
      </c>
      <c r="I273">
        <v>349.66</v>
      </c>
      <c r="J273" t="s">
        <v>899</v>
      </c>
      <c r="K273">
        <v>10297.49</v>
      </c>
    </row>
    <row r="274" spans="1:11" x14ac:dyDescent="0.25">
      <c r="A274" t="s">
        <v>510</v>
      </c>
      <c r="B274" t="s">
        <v>1174</v>
      </c>
      <c r="C274" t="s">
        <v>511</v>
      </c>
      <c r="D274" t="s">
        <v>76</v>
      </c>
      <c r="E274" t="s">
        <v>940</v>
      </c>
      <c r="F274" t="s">
        <v>939</v>
      </c>
      <c r="G274" t="s">
        <v>43</v>
      </c>
      <c r="H274">
        <v>17</v>
      </c>
      <c r="I274">
        <v>1355.07</v>
      </c>
      <c r="J274">
        <v>0</v>
      </c>
      <c r="K274">
        <v>23036.19</v>
      </c>
    </row>
    <row r="275" spans="1:11" x14ac:dyDescent="0.25">
      <c r="A275" t="s">
        <v>512</v>
      </c>
      <c r="B275" t="s">
        <v>1175</v>
      </c>
      <c r="C275" t="s">
        <v>286</v>
      </c>
      <c r="D275" t="s">
        <v>31</v>
      </c>
      <c r="E275" t="s">
        <v>913</v>
      </c>
      <c r="F275" t="s">
        <v>27</v>
      </c>
      <c r="G275" t="s">
        <v>28</v>
      </c>
      <c r="H275">
        <v>41</v>
      </c>
      <c r="I275">
        <v>117.02</v>
      </c>
      <c r="J275">
        <v>0</v>
      </c>
      <c r="K275">
        <v>4797.82</v>
      </c>
    </row>
    <row r="276" spans="1:11" x14ac:dyDescent="0.25">
      <c r="A276" t="s">
        <v>513</v>
      </c>
      <c r="B276" t="s">
        <v>1176</v>
      </c>
      <c r="C276" t="s">
        <v>514</v>
      </c>
      <c r="D276" t="s">
        <v>53</v>
      </c>
      <c r="E276" t="s">
        <v>925</v>
      </c>
      <c r="F276" t="s">
        <v>32</v>
      </c>
      <c r="G276" t="s">
        <v>22</v>
      </c>
      <c r="H276">
        <v>3</v>
      </c>
      <c r="I276">
        <v>43.39</v>
      </c>
      <c r="J276">
        <v>15</v>
      </c>
      <c r="K276">
        <v>110.64</v>
      </c>
    </row>
    <row r="277" spans="1:11" x14ac:dyDescent="0.25">
      <c r="A277" t="s">
        <v>515</v>
      </c>
      <c r="B277" t="s">
        <v>957</v>
      </c>
      <c r="C277" t="s">
        <v>208</v>
      </c>
      <c r="D277" t="s">
        <v>39</v>
      </c>
      <c r="E277" t="s">
        <v>36</v>
      </c>
      <c r="F277" t="s">
        <v>983</v>
      </c>
      <c r="G277" t="s">
        <v>22</v>
      </c>
      <c r="H277">
        <v>-8</v>
      </c>
      <c r="I277">
        <v>72.67</v>
      </c>
      <c r="J277">
        <v>10</v>
      </c>
      <c r="K277">
        <v>523.22</v>
      </c>
    </row>
    <row r="278" spans="1:11" x14ac:dyDescent="0.25">
      <c r="A278" t="s">
        <v>516</v>
      </c>
      <c r="B278" t="s">
        <v>1177</v>
      </c>
      <c r="C278" t="s">
        <v>517</v>
      </c>
      <c r="D278" t="s">
        <v>35</v>
      </c>
      <c r="E278" t="s">
        <v>944</v>
      </c>
      <c r="F278" t="s">
        <v>939</v>
      </c>
      <c r="G278" t="s">
        <v>43</v>
      </c>
      <c r="H278">
        <v>27</v>
      </c>
      <c r="I278">
        <v>1087.99</v>
      </c>
      <c r="K278">
        <v>23500.58</v>
      </c>
    </row>
    <row r="279" spans="1:11" x14ac:dyDescent="0.25">
      <c r="A279" t="s">
        <v>518</v>
      </c>
      <c r="B279" t="s">
        <v>1157</v>
      </c>
      <c r="C279" t="s">
        <v>519</v>
      </c>
      <c r="D279" t="s">
        <v>76</v>
      </c>
      <c r="E279" t="s">
        <v>974</v>
      </c>
      <c r="F279" t="s">
        <v>947</v>
      </c>
      <c r="G279" t="s">
        <v>22</v>
      </c>
      <c r="H279">
        <v>17</v>
      </c>
      <c r="I279">
        <v>44.25</v>
      </c>
      <c r="J279">
        <v>10</v>
      </c>
      <c r="K279">
        <v>677.02</v>
      </c>
    </row>
    <row r="280" spans="1:11" x14ac:dyDescent="0.25">
      <c r="A280" t="s">
        <v>520</v>
      </c>
      <c r="B280" t="s">
        <v>1178</v>
      </c>
      <c r="C280" t="s">
        <v>521</v>
      </c>
      <c r="D280" t="s">
        <v>31</v>
      </c>
      <c r="E280" t="s">
        <v>14</v>
      </c>
      <c r="F280" t="s">
        <v>934</v>
      </c>
      <c r="G280" t="s">
        <v>22</v>
      </c>
      <c r="H280">
        <v>27</v>
      </c>
      <c r="I280" t="s">
        <v>1179</v>
      </c>
      <c r="J280">
        <v>0</v>
      </c>
      <c r="K280">
        <v>967.41</v>
      </c>
    </row>
    <row r="281" spans="1:11" x14ac:dyDescent="0.25">
      <c r="A281" t="s">
        <v>522</v>
      </c>
      <c r="B281" t="s">
        <v>1180</v>
      </c>
      <c r="C281" t="s">
        <v>523</v>
      </c>
      <c r="D281" t="s">
        <v>19</v>
      </c>
      <c r="E281" t="s">
        <v>942</v>
      </c>
      <c r="F281" t="s">
        <v>54</v>
      </c>
      <c r="G281" t="s">
        <v>55</v>
      </c>
      <c r="H281">
        <v>23</v>
      </c>
      <c r="I281">
        <v>454.77</v>
      </c>
      <c r="J281">
        <v>0</v>
      </c>
      <c r="K281">
        <v>10459.709999999999</v>
      </c>
    </row>
    <row r="282" spans="1:11" x14ac:dyDescent="0.25">
      <c r="A282" t="s">
        <v>524</v>
      </c>
      <c r="B282" t="s">
        <v>1181</v>
      </c>
      <c r="C282" t="s">
        <v>411</v>
      </c>
      <c r="D282" t="s">
        <v>67</v>
      </c>
      <c r="E282" t="s">
        <v>956</v>
      </c>
      <c r="F282" t="s">
        <v>945</v>
      </c>
      <c r="G282" t="s">
        <v>55</v>
      </c>
      <c r="H282">
        <v>19</v>
      </c>
      <c r="I282">
        <v>457.48</v>
      </c>
      <c r="J282">
        <v>0.1</v>
      </c>
      <c r="K282">
        <v>7822.91</v>
      </c>
    </row>
    <row r="283" spans="1:11" x14ac:dyDescent="0.25">
      <c r="A283" t="s">
        <v>525</v>
      </c>
      <c r="B283" t="s">
        <v>1182</v>
      </c>
      <c r="C283" t="s">
        <v>476</v>
      </c>
      <c r="D283" t="s">
        <v>50</v>
      </c>
      <c r="E283" t="s">
        <v>942</v>
      </c>
      <c r="F283" t="s">
        <v>993</v>
      </c>
      <c r="G283" t="s">
        <v>43</v>
      </c>
      <c r="H283">
        <v>5</v>
      </c>
      <c r="I283">
        <v>313.36</v>
      </c>
      <c r="J283">
        <v>20</v>
      </c>
      <c r="K283">
        <v>1253.44</v>
      </c>
    </row>
    <row r="284" spans="1:11" x14ac:dyDescent="0.25">
      <c r="A284" t="s">
        <v>526</v>
      </c>
      <c r="B284" t="s">
        <v>1183</v>
      </c>
      <c r="C284" t="s">
        <v>418</v>
      </c>
      <c r="D284" t="s">
        <v>53</v>
      </c>
      <c r="E284" t="s">
        <v>901</v>
      </c>
      <c r="F284" t="s">
        <v>929</v>
      </c>
      <c r="G284" t="s">
        <v>43</v>
      </c>
      <c r="H284">
        <v>5</v>
      </c>
      <c r="I284">
        <v>1290.99</v>
      </c>
      <c r="J284" t="s">
        <v>987</v>
      </c>
      <c r="K284">
        <v>5163.96</v>
      </c>
    </row>
    <row r="285" spans="1:11" x14ac:dyDescent="0.25">
      <c r="A285" t="s">
        <v>527</v>
      </c>
      <c r="B285" t="s">
        <v>1012</v>
      </c>
      <c r="C285" t="s">
        <v>178</v>
      </c>
      <c r="D285" t="s">
        <v>39</v>
      </c>
      <c r="E285" t="s">
        <v>913</v>
      </c>
      <c r="F285" t="s">
        <v>903</v>
      </c>
      <c r="G285" t="s">
        <v>28</v>
      </c>
      <c r="H285">
        <v>36</v>
      </c>
      <c r="I285">
        <v>135.36000000000001</v>
      </c>
      <c r="K285">
        <v>4629.3100000000004</v>
      </c>
    </row>
    <row r="286" spans="1:11" x14ac:dyDescent="0.25">
      <c r="A286" t="s">
        <v>528</v>
      </c>
      <c r="B286" t="s">
        <v>926</v>
      </c>
      <c r="C286" t="s">
        <v>331</v>
      </c>
      <c r="D286" t="s">
        <v>53</v>
      </c>
      <c r="E286" t="s">
        <v>974</v>
      </c>
      <c r="F286" t="s">
        <v>903</v>
      </c>
      <c r="G286" t="s">
        <v>28</v>
      </c>
      <c r="H286">
        <v>32</v>
      </c>
      <c r="I286" t="s">
        <v>1184</v>
      </c>
      <c r="J286" t="s">
        <v>899</v>
      </c>
      <c r="K286">
        <v>3779.63</v>
      </c>
    </row>
    <row r="287" spans="1:11" x14ac:dyDescent="0.25">
      <c r="A287" t="s">
        <v>529</v>
      </c>
      <c r="B287" t="s">
        <v>1185</v>
      </c>
      <c r="C287" t="s">
        <v>133</v>
      </c>
      <c r="D287" t="s">
        <v>50</v>
      </c>
      <c r="E287" t="s">
        <v>901</v>
      </c>
      <c r="F287" t="s">
        <v>939</v>
      </c>
      <c r="G287" t="s">
        <v>43</v>
      </c>
      <c r="H287">
        <v>10</v>
      </c>
      <c r="I287">
        <v>1248.5</v>
      </c>
      <c r="J287">
        <v>0</v>
      </c>
      <c r="K287">
        <v>12485</v>
      </c>
    </row>
    <row r="288" spans="1:11" x14ac:dyDescent="0.25">
      <c r="A288" t="s">
        <v>530</v>
      </c>
      <c r="B288" t="s">
        <v>1186</v>
      </c>
      <c r="C288" t="s">
        <v>531</v>
      </c>
      <c r="D288" t="s">
        <v>50</v>
      </c>
      <c r="E288" t="s">
        <v>956</v>
      </c>
      <c r="F288" t="s">
        <v>903</v>
      </c>
      <c r="G288" t="s">
        <v>28</v>
      </c>
      <c r="H288">
        <v>12</v>
      </c>
      <c r="I288">
        <v>109.83</v>
      </c>
      <c r="J288">
        <v>0</v>
      </c>
      <c r="K288">
        <v>1317.96</v>
      </c>
    </row>
    <row r="289" spans="1:11" x14ac:dyDescent="0.25">
      <c r="A289" t="s">
        <v>532</v>
      </c>
      <c r="B289" t="s">
        <v>1187</v>
      </c>
      <c r="C289" t="s">
        <v>533</v>
      </c>
      <c r="D289" t="s">
        <v>76</v>
      </c>
      <c r="E289" t="s">
        <v>892</v>
      </c>
      <c r="F289" t="s">
        <v>962</v>
      </c>
      <c r="G289" t="s">
        <v>43</v>
      </c>
      <c r="H289">
        <v>2</v>
      </c>
      <c r="I289">
        <v>345.39</v>
      </c>
      <c r="J289" t="s">
        <v>951</v>
      </c>
      <c r="K289">
        <v>690.78</v>
      </c>
    </row>
    <row r="290" spans="1:11" x14ac:dyDescent="0.25">
      <c r="A290" t="s">
        <v>534</v>
      </c>
      <c r="B290" t="s">
        <v>1188</v>
      </c>
      <c r="C290" t="s">
        <v>535</v>
      </c>
      <c r="D290" t="s">
        <v>19</v>
      </c>
      <c r="E290" t="s">
        <v>905</v>
      </c>
      <c r="F290" t="s">
        <v>82</v>
      </c>
      <c r="G290" t="s">
        <v>43</v>
      </c>
      <c r="H290">
        <v>3</v>
      </c>
      <c r="I290">
        <v>1349.11</v>
      </c>
      <c r="J290">
        <v>0</v>
      </c>
      <c r="K290">
        <v>4047.33</v>
      </c>
    </row>
    <row r="291" spans="1:11" x14ac:dyDescent="0.25">
      <c r="A291" t="s">
        <v>536</v>
      </c>
      <c r="B291" t="s">
        <v>1189</v>
      </c>
      <c r="C291" t="s">
        <v>158</v>
      </c>
      <c r="D291" t="s">
        <v>53</v>
      </c>
      <c r="E291" t="s">
        <v>36</v>
      </c>
      <c r="F291" t="s">
        <v>929</v>
      </c>
      <c r="G291" t="s">
        <v>43</v>
      </c>
      <c r="H291">
        <v>31</v>
      </c>
      <c r="I291">
        <v>1112.19</v>
      </c>
      <c r="J291">
        <v>0</v>
      </c>
      <c r="K291">
        <v>34477.89</v>
      </c>
    </row>
    <row r="292" spans="1:11" x14ac:dyDescent="0.25">
      <c r="A292" t="s">
        <v>537</v>
      </c>
      <c r="B292" t="s">
        <v>976</v>
      </c>
      <c r="C292" t="s">
        <v>538</v>
      </c>
      <c r="D292" t="s">
        <v>67</v>
      </c>
      <c r="E292" t="s">
        <v>892</v>
      </c>
      <c r="F292" t="s">
        <v>898</v>
      </c>
      <c r="G292" t="s">
        <v>22</v>
      </c>
      <c r="H292">
        <v>47</v>
      </c>
      <c r="I292">
        <v>44.35</v>
      </c>
      <c r="J292">
        <v>0.05</v>
      </c>
      <c r="K292">
        <v>1980.23</v>
      </c>
    </row>
    <row r="293" spans="1:11" x14ac:dyDescent="0.25">
      <c r="A293" t="s">
        <v>539</v>
      </c>
      <c r="B293" t="s">
        <v>1190</v>
      </c>
      <c r="C293" t="s">
        <v>540</v>
      </c>
      <c r="D293" t="s">
        <v>99</v>
      </c>
      <c r="E293" t="s">
        <v>1072</v>
      </c>
      <c r="F293" t="s">
        <v>27</v>
      </c>
      <c r="G293" t="s">
        <v>28</v>
      </c>
      <c r="H293">
        <v>30</v>
      </c>
      <c r="I293" t="s">
        <v>1191</v>
      </c>
      <c r="J293">
        <v>0</v>
      </c>
      <c r="K293">
        <v>3874.5</v>
      </c>
    </row>
    <row r="294" spans="1:11" x14ac:dyDescent="0.25">
      <c r="A294" t="s">
        <v>541</v>
      </c>
      <c r="B294" t="s">
        <v>980</v>
      </c>
      <c r="C294" t="s">
        <v>542</v>
      </c>
      <c r="D294" t="s">
        <v>50</v>
      </c>
      <c r="E294" t="s">
        <v>942</v>
      </c>
      <c r="F294" t="s">
        <v>911</v>
      </c>
      <c r="G294" t="s">
        <v>55</v>
      </c>
      <c r="H294">
        <v>18</v>
      </c>
      <c r="I294">
        <v>431.5</v>
      </c>
      <c r="J294">
        <v>10</v>
      </c>
      <c r="K294">
        <v>6990.3</v>
      </c>
    </row>
    <row r="295" spans="1:11" x14ac:dyDescent="0.25">
      <c r="A295" t="s">
        <v>543</v>
      </c>
      <c r="B295" t="s">
        <v>924</v>
      </c>
      <c r="C295" t="s">
        <v>544</v>
      </c>
      <c r="D295" t="s">
        <v>67</v>
      </c>
      <c r="E295" t="s">
        <v>913</v>
      </c>
      <c r="F295" t="s">
        <v>945</v>
      </c>
      <c r="G295" t="s">
        <v>55</v>
      </c>
      <c r="H295">
        <v>15</v>
      </c>
      <c r="I295">
        <v>419.71</v>
      </c>
      <c r="J295">
        <v>0</v>
      </c>
      <c r="K295">
        <v>6295.65</v>
      </c>
    </row>
    <row r="296" spans="1:11" x14ac:dyDescent="0.25">
      <c r="A296" t="s">
        <v>545</v>
      </c>
      <c r="B296" t="s">
        <v>1192</v>
      </c>
      <c r="C296" t="s">
        <v>546</v>
      </c>
      <c r="D296" t="s">
        <v>31</v>
      </c>
      <c r="E296" t="s">
        <v>889</v>
      </c>
      <c r="F296" t="s">
        <v>945</v>
      </c>
      <c r="G296" t="s">
        <v>55</v>
      </c>
      <c r="H296">
        <v>24</v>
      </c>
      <c r="I296">
        <v>505.7</v>
      </c>
      <c r="K296">
        <v>11529.96</v>
      </c>
    </row>
    <row r="297" spans="1:11" x14ac:dyDescent="0.25">
      <c r="A297" t="s">
        <v>547</v>
      </c>
      <c r="B297" t="s">
        <v>1193</v>
      </c>
      <c r="C297" t="s">
        <v>548</v>
      </c>
      <c r="D297" t="s">
        <v>19</v>
      </c>
      <c r="E297" t="s">
        <v>944</v>
      </c>
      <c r="F297" t="s">
        <v>15</v>
      </c>
      <c r="G297" t="s">
        <v>16</v>
      </c>
      <c r="H297">
        <v>46</v>
      </c>
      <c r="I297">
        <v>88.9</v>
      </c>
      <c r="J297">
        <v>20</v>
      </c>
      <c r="K297">
        <v>4239.8999999999996</v>
      </c>
    </row>
    <row r="298" spans="1:11" x14ac:dyDescent="0.25">
      <c r="A298" t="s">
        <v>549</v>
      </c>
      <c r="B298" t="s">
        <v>1194</v>
      </c>
      <c r="C298" t="s">
        <v>550</v>
      </c>
      <c r="D298" t="s">
        <v>25</v>
      </c>
      <c r="E298" t="s">
        <v>986</v>
      </c>
      <c r="F298" t="s">
        <v>890</v>
      </c>
      <c r="G298" t="s">
        <v>16</v>
      </c>
      <c r="H298">
        <v>12</v>
      </c>
      <c r="I298">
        <v>101.5</v>
      </c>
      <c r="J298">
        <v>0.2</v>
      </c>
      <c r="K298">
        <v>974.4</v>
      </c>
    </row>
    <row r="299" spans="1:11" x14ac:dyDescent="0.25">
      <c r="A299" t="s">
        <v>551</v>
      </c>
      <c r="B299" t="s">
        <v>1195</v>
      </c>
      <c r="C299" t="s">
        <v>217</v>
      </c>
      <c r="D299" t="s">
        <v>39</v>
      </c>
      <c r="E299" t="s">
        <v>26</v>
      </c>
      <c r="F299" t="s">
        <v>42</v>
      </c>
      <c r="G299" t="s">
        <v>43</v>
      </c>
      <c r="H299">
        <v>-9</v>
      </c>
      <c r="I299">
        <v>317.64</v>
      </c>
      <c r="J299">
        <v>0</v>
      </c>
      <c r="K299">
        <v>2858.76</v>
      </c>
    </row>
    <row r="300" spans="1:11" x14ac:dyDescent="0.25">
      <c r="A300" t="s">
        <v>552</v>
      </c>
      <c r="B300" t="s">
        <v>1080</v>
      </c>
      <c r="C300" t="s">
        <v>553</v>
      </c>
      <c r="D300" t="s">
        <v>76</v>
      </c>
      <c r="E300" t="s">
        <v>956</v>
      </c>
      <c r="F300" t="s">
        <v>931</v>
      </c>
      <c r="G300" t="s">
        <v>43</v>
      </c>
      <c r="H300">
        <v>19</v>
      </c>
      <c r="I300">
        <v>1167.1400000000001</v>
      </c>
      <c r="J300">
        <v>0</v>
      </c>
      <c r="K300">
        <v>22175.66</v>
      </c>
    </row>
    <row r="301" spans="1:11" x14ac:dyDescent="0.25">
      <c r="A301" t="s">
        <v>554</v>
      </c>
      <c r="B301" t="s">
        <v>1196</v>
      </c>
      <c r="C301" t="s">
        <v>555</v>
      </c>
      <c r="D301" t="s">
        <v>25</v>
      </c>
      <c r="E301" t="s">
        <v>925</v>
      </c>
      <c r="F301" t="s">
        <v>15</v>
      </c>
      <c r="G301" t="s">
        <v>16</v>
      </c>
      <c r="H301">
        <v>11</v>
      </c>
      <c r="I301">
        <v>97.35</v>
      </c>
      <c r="J301">
        <v>0</v>
      </c>
      <c r="K301">
        <v>1070.8499999999999</v>
      </c>
    </row>
    <row r="302" spans="1:11" x14ac:dyDescent="0.25">
      <c r="A302" t="s">
        <v>556</v>
      </c>
      <c r="B302" t="s">
        <v>1197</v>
      </c>
      <c r="C302" t="s">
        <v>557</v>
      </c>
      <c r="D302" t="s">
        <v>25</v>
      </c>
      <c r="E302" t="s">
        <v>892</v>
      </c>
      <c r="F302" t="s">
        <v>903</v>
      </c>
      <c r="G302" t="s">
        <v>28</v>
      </c>
      <c r="H302">
        <v>21</v>
      </c>
      <c r="I302">
        <v>120.48</v>
      </c>
      <c r="J302" t="s">
        <v>987</v>
      </c>
      <c r="K302">
        <v>2024.06</v>
      </c>
    </row>
    <row r="303" spans="1:11" x14ac:dyDescent="0.25">
      <c r="A303" t="s">
        <v>558</v>
      </c>
      <c r="B303" t="s">
        <v>1198</v>
      </c>
      <c r="C303" t="s">
        <v>346</v>
      </c>
      <c r="D303" t="s">
        <v>39</v>
      </c>
      <c r="E303" t="s">
        <v>20</v>
      </c>
      <c r="F303" t="s">
        <v>993</v>
      </c>
      <c r="G303" t="s">
        <v>43</v>
      </c>
      <c r="H303">
        <v>27</v>
      </c>
      <c r="I303">
        <v>303.92</v>
      </c>
      <c r="J303">
        <v>15</v>
      </c>
      <c r="K303">
        <v>6974.96</v>
      </c>
    </row>
    <row r="304" spans="1:11" x14ac:dyDescent="0.25">
      <c r="A304" t="s">
        <v>559</v>
      </c>
      <c r="B304" t="s">
        <v>1199</v>
      </c>
      <c r="C304" t="s">
        <v>560</v>
      </c>
      <c r="D304" t="s">
        <v>39</v>
      </c>
      <c r="E304" t="s">
        <v>956</v>
      </c>
      <c r="F304" t="s">
        <v>931</v>
      </c>
      <c r="G304" t="s">
        <v>43</v>
      </c>
      <c r="H304">
        <v>34</v>
      </c>
      <c r="I304">
        <v>1291.07</v>
      </c>
      <c r="K304">
        <v>43896.38</v>
      </c>
    </row>
    <row r="305" spans="1:11" x14ac:dyDescent="0.25">
      <c r="A305" t="s">
        <v>561</v>
      </c>
      <c r="B305" t="s">
        <v>1113</v>
      </c>
      <c r="C305" t="s">
        <v>562</v>
      </c>
      <c r="D305" t="s">
        <v>67</v>
      </c>
      <c r="E305" t="s">
        <v>940</v>
      </c>
      <c r="F305" t="s">
        <v>983</v>
      </c>
      <c r="G305" t="s">
        <v>22</v>
      </c>
      <c r="H305">
        <v>24</v>
      </c>
      <c r="I305">
        <v>79.650000000000006</v>
      </c>
      <c r="J305">
        <v>10</v>
      </c>
      <c r="K305">
        <v>1720.44</v>
      </c>
    </row>
    <row r="306" spans="1:11" x14ac:dyDescent="0.25">
      <c r="A306" t="s">
        <v>563</v>
      </c>
      <c r="B306" t="s">
        <v>1121</v>
      </c>
      <c r="C306" t="s">
        <v>162</v>
      </c>
      <c r="D306" t="s">
        <v>53</v>
      </c>
      <c r="E306" t="s">
        <v>20</v>
      </c>
      <c r="F306" t="s">
        <v>82</v>
      </c>
      <c r="G306" t="s">
        <v>43</v>
      </c>
      <c r="H306">
        <v>16</v>
      </c>
      <c r="I306">
        <v>1325.51</v>
      </c>
      <c r="J306">
        <v>20</v>
      </c>
      <c r="K306">
        <v>16966.53</v>
      </c>
    </row>
    <row r="307" spans="1:11" x14ac:dyDescent="0.25">
      <c r="A307" t="s">
        <v>564</v>
      </c>
      <c r="B307" t="s">
        <v>1200</v>
      </c>
      <c r="C307" t="s">
        <v>565</v>
      </c>
      <c r="D307" t="s">
        <v>76</v>
      </c>
      <c r="E307" t="s">
        <v>940</v>
      </c>
      <c r="F307" t="s">
        <v>32</v>
      </c>
      <c r="G307" t="s">
        <v>22</v>
      </c>
      <c r="H307">
        <v>35</v>
      </c>
      <c r="I307">
        <v>46.92</v>
      </c>
      <c r="J307">
        <v>0</v>
      </c>
      <c r="K307">
        <v>1642.2</v>
      </c>
    </row>
    <row r="308" spans="1:11" x14ac:dyDescent="0.25">
      <c r="A308" t="s">
        <v>566</v>
      </c>
      <c r="B308" t="s">
        <v>1201</v>
      </c>
      <c r="C308" t="s">
        <v>111</v>
      </c>
      <c r="D308" t="s">
        <v>35</v>
      </c>
      <c r="E308" t="s">
        <v>26</v>
      </c>
      <c r="F308" t="s">
        <v>898</v>
      </c>
      <c r="G308" t="s">
        <v>22</v>
      </c>
      <c r="H308">
        <v>30</v>
      </c>
      <c r="I308">
        <v>40.6</v>
      </c>
      <c r="J308">
        <v>20</v>
      </c>
      <c r="K308">
        <v>974.4</v>
      </c>
    </row>
    <row r="309" spans="1:11" x14ac:dyDescent="0.25">
      <c r="A309" t="s">
        <v>567</v>
      </c>
      <c r="B309" t="s">
        <v>1202</v>
      </c>
      <c r="C309" t="s">
        <v>523</v>
      </c>
      <c r="D309" t="s">
        <v>50</v>
      </c>
      <c r="E309" t="s">
        <v>892</v>
      </c>
      <c r="F309" t="s">
        <v>945</v>
      </c>
      <c r="G309" t="s">
        <v>55</v>
      </c>
      <c r="H309">
        <v>18</v>
      </c>
      <c r="I309">
        <v>418.08</v>
      </c>
      <c r="K309">
        <v>7525.44</v>
      </c>
    </row>
    <row r="310" spans="1:11" x14ac:dyDescent="0.25">
      <c r="A310" t="s">
        <v>568</v>
      </c>
      <c r="B310" t="s">
        <v>1203</v>
      </c>
      <c r="C310" t="s">
        <v>429</v>
      </c>
      <c r="D310" t="s">
        <v>99</v>
      </c>
      <c r="E310" t="s">
        <v>36</v>
      </c>
      <c r="F310" t="s">
        <v>931</v>
      </c>
      <c r="G310" t="s">
        <v>43</v>
      </c>
      <c r="H310">
        <v>12</v>
      </c>
      <c r="I310">
        <v>1262</v>
      </c>
      <c r="J310">
        <v>0</v>
      </c>
      <c r="K310">
        <v>15144</v>
      </c>
    </row>
    <row r="311" spans="1:11" x14ac:dyDescent="0.25">
      <c r="A311" t="s">
        <v>569</v>
      </c>
      <c r="B311" t="s">
        <v>1204</v>
      </c>
      <c r="C311" t="s">
        <v>198</v>
      </c>
      <c r="D311" t="s">
        <v>50</v>
      </c>
      <c r="E311" t="s">
        <v>974</v>
      </c>
      <c r="F311" t="s">
        <v>903</v>
      </c>
      <c r="G311" t="s">
        <v>28</v>
      </c>
      <c r="H311">
        <v>21</v>
      </c>
      <c r="I311">
        <v>124.13</v>
      </c>
      <c r="J311" t="s">
        <v>899</v>
      </c>
      <c r="K311">
        <v>2476.39</v>
      </c>
    </row>
    <row r="312" spans="1:11" x14ac:dyDescent="0.25">
      <c r="A312" t="s">
        <v>570</v>
      </c>
      <c r="B312" t="s">
        <v>1045</v>
      </c>
      <c r="C312" t="s">
        <v>571</v>
      </c>
      <c r="D312" t="s">
        <v>99</v>
      </c>
      <c r="E312" t="s">
        <v>944</v>
      </c>
      <c r="F312" t="s">
        <v>969</v>
      </c>
      <c r="G312" t="s">
        <v>16</v>
      </c>
      <c r="H312">
        <v>19</v>
      </c>
      <c r="I312">
        <v>99.89</v>
      </c>
      <c r="J312">
        <v>5</v>
      </c>
      <c r="K312">
        <v>1803.01</v>
      </c>
    </row>
    <row r="313" spans="1:11" x14ac:dyDescent="0.25">
      <c r="A313" t="s">
        <v>572</v>
      </c>
      <c r="B313" t="s">
        <v>1205</v>
      </c>
      <c r="C313" t="s">
        <v>531</v>
      </c>
      <c r="D313" t="s">
        <v>31</v>
      </c>
      <c r="E313" t="s">
        <v>986</v>
      </c>
      <c r="F313" t="s">
        <v>893</v>
      </c>
      <c r="G313" t="s">
        <v>22</v>
      </c>
      <c r="H313">
        <v>26</v>
      </c>
      <c r="I313">
        <v>75.569999999999993</v>
      </c>
      <c r="J313" t="s">
        <v>918</v>
      </c>
      <c r="K313">
        <v>1670.1</v>
      </c>
    </row>
    <row r="314" spans="1:11" x14ac:dyDescent="0.25">
      <c r="A314" t="s">
        <v>573</v>
      </c>
      <c r="B314" t="s">
        <v>1206</v>
      </c>
      <c r="C314" t="s">
        <v>574</v>
      </c>
      <c r="D314" t="s">
        <v>53</v>
      </c>
      <c r="E314" t="s">
        <v>967</v>
      </c>
      <c r="F314" t="s">
        <v>903</v>
      </c>
      <c r="G314" t="s">
        <v>28</v>
      </c>
      <c r="H314">
        <v>9</v>
      </c>
      <c r="I314">
        <v>125.93</v>
      </c>
      <c r="J314">
        <v>0</v>
      </c>
      <c r="K314">
        <v>1133.3699999999999</v>
      </c>
    </row>
    <row r="315" spans="1:11" x14ac:dyDescent="0.25">
      <c r="A315" t="s">
        <v>575</v>
      </c>
      <c r="B315" t="s">
        <v>1207</v>
      </c>
      <c r="C315" t="s">
        <v>548</v>
      </c>
      <c r="D315" t="s">
        <v>53</v>
      </c>
      <c r="E315" t="s">
        <v>956</v>
      </c>
      <c r="F315" t="s">
        <v>21</v>
      </c>
      <c r="G315" t="s">
        <v>22</v>
      </c>
      <c r="H315">
        <v>-26</v>
      </c>
      <c r="I315">
        <v>91.34</v>
      </c>
      <c r="J315" t="s">
        <v>951</v>
      </c>
      <c r="K315">
        <v>2374.84</v>
      </c>
    </row>
    <row r="316" spans="1:11" x14ac:dyDescent="0.25">
      <c r="A316" t="s">
        <v>576</v>
      </c>
      <c r="B316" t="s">
        <v>1080</v>
      </c>
      <c r="C316" t="s">
        <v>226</v>
      </c>
      <c r="D316" t="s">
        <v>39</v>
      </c>
      <c r="E316" t="s">
        <v>967</v>
      </c>
      <c r="F316" t="s">
        <v>42</v>
      </c>
      <c r="G316" t="s">
        <v>43</v>
      </c>
      <c r="H316">
        <v>6</v>
      </c>
      <c r="I316">
        <v>301.45999999999998</v>
      </c>
      <c r="J316">
        <v>5</v>
      </c>
      <c r="K316">
        <v>2842.1</v>
      </c>
    </row>
    <row r="317" spans="1:11" x14ac:dyDescent="0.25">
      <c r="A317" t="s">
        <v>577</v>
      </c>
      <c r="B317" t="s">
        <v>1208</v>
      </c>
      <c r="C317" t="s">
        <v>265</v>
      </c>
      <c r="D317" t="s">
        <v>76</v>
      </c>
      <c r="E317" t="s">
        <v>913</v>
      </c>
      <c r="F317" t="s">
        <v>929</v>
      </c>
      <c r="G317" t="s">
        <v>43</v>
      </c>
      <c r="H317">
        <v>4</v>
      </c>
      <c r="I317" t="s">
        <v>1209</v>
      </c>
      <c r="J317" t="s">
        <v>951</v>
      </c>
      <c r="K317">
        <v>4334.24</v>
      </c>
    </row>
    <row r="318" spans="1:11" x14ac:dyDescent="0.25">
      <c r="A318" t="s">
        <v>578</v>
      </c>
      <c r="B318" t="s">
        <v>1210</v>
      </c>
      <c r="C318" t="s">
        <v>111</v>
      </c>
      <c r="D318" t="s">
        <v>99</v>
      </c>
      <c r="E318" t="s">
        <v>944</v>
      </c>
      <c r="F318" t="s">
        <v>898</v>
      </c>
      <c r="G318" t="s">
        <v>22</v>
      </c>
      <c r="H318">
        <v>29</v>
      </c>
      <c r="I318">
        <v>51.67</v>
      </c>
      <c r="J318">
        <v>0</v>
      </c>
      <c r="K318">
        <v>1498.43</v>
      </c>
    </row>
    <row r="319" spans="1:11" x14ac:dyDescent="0.25">
      <c r="A319" t="s">
        <v>579</v>
      </c>
      <c r="B319" t="s">
        <v>1211</v>
      </c>
      <c r="C319" t="s">
        <v>580</v>
      </c>
      <c r="D319" t="s">
        <v>39</v>
      </c>
      <c r="E319" t="s">
        <v>944</v>
      </c>
      <c r="F319" t="s">
        <v>896</v>
      </c>
      <c r="G319" t="s">
        <v>28</v>
      </c>
      <c r="H319">
        <v>49</v>
      </c>
      <c r="I319">
        <v>135.62</v>
      </c>
      <c r="J319">
        <v>0</v>
      </c>
      <c r="K319">
        <v>6645.38</v>
      </c>
    </row>
    <row r="320" spans="1:11" x14ac:dyDescent="0.25">
      <c r="A320" t="s">
        <v>581</v>
      </c>
      <c r="B320" t="s">
        <v>1212</v>
      </c>
      <c r="C320" t="s">
        <v>582</v>
      </c>
      <c r="D320" t="s">
        <v>53</v>
      </c>
      <c r="E320" t="s">
        <v>913</v>
      </c>
      <c r="F320" t="s">
        <v>947</v>
      </c>
      <c r="G320" t="s">
        <v>22</v>
      </c>
      <c r="H320">
        <v>48</v>
      </c>
      <c r="I320">
        <v>49.09</v>
      </c>
      <c r="J320">
        <v>20</v>
      </c>
      <c r="K320">
        <v>1885.06</v>
      </c>
    </row>
    <row r="321" spans="1:11" x14ac:dyDescent="0.25">
      <c r="A321" t="s">
        <v>583</v>
      </c>
      <c r="B321" t="s">
        <v>963</v>
      </c>
      <c r="C321" t="s">
        <v>584</v>
      </c>
      <c r="D321" t="s">
        <v>39</v>
      </c>
      <c r="E321" t="s">
        <v>36</v>
      </c>
      <c r="F321" t="s">
        <v>931</v>
      </c>
      <c r="G321" t="s">
        <v>43</v>
      </c>
      <c r="H321">
        <v>16</v>
      </c>
      <c r="I321">
        <v>1156.93</v>
      </c>
      <c r="J321">
        <v>5</v>
      </c>
      <c r="K321">
        <v>17585.34</v>
      </c>
    </row>
    <row r="322" spans="1:11" x14ac:dyDescent="0.25">
      <c r="A322" t="s">
        <v>585</v>
      </c>
      <c r="B322" t="s">
        <v>1033</v>
      </c>
      <c r="C322" t="s">
        <v>508</v>
      </c>
      <c r="D322" t="s">
        <v>50</v>
      </c>
      <c r="E322" t="s">
        <v>892</v>
      </c>
      <c r="F322" t="s">
        <v>962</v>
      </c>
      <c r="G322" t="s">
        <v>43</v>
      </c>
      <c r="H322">
        <v>36</v>
      </c>
      <c r="I322">
        <v>313.5</v>
      </c>
      <c r="J322">
        <v>0</v>
      </c>
      <c r="K322">
        <v>11286</v>
      </c>
    </row>
    <row r="323" spans="1:11" x14ac:dyDescent="0.25">
      <c r="A323" t="s">
        <v>586</v>
      </c>
      <c r="B323" t="s">
        <v>1199</v>
      </c>
      <c r="C323" t="s">
        <v>162</v>
      </c>
      <c r="D323" t="s">
        <v>99</v>
      </c>
      <c r="E323" t="s">
        <v>889</v>
      </c>
      <c r="F323" t="s">
        <v>898</v>
      </c>
      <c r="G323" t="s">
        <v>22</v>
      </c>
      <c r="H323">
        <v>46</v>
      </c>
      <c r="I323">
        <v>50.32</v>
      </c>
      <c r="J323">
        <v>0</v>
      </c>
      <c r="K323">
        <v>2314.7199999999998</v>
      </c>
    </row>
    <row r="324" spans="1:11" x14ac:dyDescent="0.25">
      <c r="A324" t="s">
        <v>587</v>
      </c>
      <c r="B324" t="s">
        <v>1203</v>
      </c>
      <c r="C324" t="s">
        <v>190</v>
      </c>
      <c r="D324" t="s">
        <v>31</v>
      </c>
      <c r="E324" t="s">
        <v>26</v>
      </c>
      <c r="F324" t="s">
        <v>42</v>
      </c>
      <c r="G324" t="s">
        <v>43</v>
      </c>
      <c r="H324">
        <v>41</v>
      </c>
      <c r="I324">
        <v>304.43</v>
      </c>
      <c r="J324">
        <v>0</v>
      </c>
      <c r="K324">
        <v>12481.63</v>
      </c>
    </row>
    <row r="325" spans="1:11" x14ac:dyDescent="0.25">
      <c r="A325" t="s">
        <v>588</v>
      </c>
      <c r="B325" t="s">
        <v>1213</v>
      </c>
      <c r="C325" t="s">
        <v>589</v>
      </c>
      <c r="D325" t="s">
        <v>31</v>
      </c>
      <c r="E325" t="s">
        <v>901</v>
      </c>
      <c r="F325" t="s">
        <v>947</v>
      </c>
      <c r="G325" t="s">
        <v>22</v>
      </c>
      <c r="H325">
        <v>34</v>
      </c>
      <c r="I325">
        <v>51.64</v>
      </c>
      <c r="J325">
        <v>0</v>
      </c>
      <c r="K325">
        <v>1755.76</v>
      </c>
    </row>
    <row r="326" spans="1:11" x14ac:dyDescent="0.25">
      <c r="A326" t="s">
        <v>590</v>
      </c>
      <c r="B326" t="s">
        <v>921</v>
      </c>
      <c r="C326" t="s">
        <v>307</v>
      </c>
      <c r="D326" t="s">
        <v>25</v>
      </c>
      <c r="E326" t="s">
        <v>905</v>
      </c>
      <c r="F326" t="s">
        <v>1001</v>
      </c>
      <c r="G326" t="s">
        <v>22</v>
      </c>
      <c r="H326">
        <v>6</v>
      </c>
      <c r="I326">
        <v>34.130000000000003</v>
      </c>
      <c r="J326">
        <v>0</v>
      </c>
      <c r="K326">
        <v>204.78</v>
      </c>
    </row>
    <row r="327" spans="1:11" x14ac:dyDescent="0.25">
      <c r="A327" t="s">
        <v>591</v>
      </c>
      <c r="B327" t="s">
        <v>1214</v>
      </c>
      <c r="C327" t="s">
        <v>592</v>
      </c>
      <c r="D327" t="s">
        <v>99</v>
      </c>
      <c r="E327" t="s">
        <v>915</v>
      </c>
      <c r="F327" t="s">
        <v>934</v>
      </c>
      <c r="G327" t="s">
        <v>22</v>
      </c>
      <c r="H327">
        <v>34</v>
      </c>
      <c r="I327">
        <v>38.11</v>
      </c>
      <c r="J327">
        <v>20</v>
      </c>
      <c r="K327">
        <v>1036.5899999999999</v>
      </c>
    </row>
    <row r="328" spans="1:11" x14ac:dyDescent="0.25">
      <c r="A328" t="s">
        <v>593</v>
      </c>
      <c r="B328" t="s">
        <v>1215</v>
      </c>
      <c r="C328" t="s">
        <v>594</v>
      </c>
      <c r="D328" t="s">
        <v>39</v>
      </c>
      <c r="E328" t="s">
        <v>889</v>
      </c>
      <c r="F328" t="s">
        <v>927</v>
      </c>
      <c r="G328" t="s">
        <v>22</v>
      </c>
      <c r="H328">
        <v>5</v>
      </c>
      <c r="I328">
        <v>37.69</v>
      </c>
      <c r="J328">
        <v>0</v>
      </c>
      <c r="K328">
        <v>188.45</v>
      </c>
    </row>
    <row r="329" spans="1:11" x14ac:dyDescent="0.25">
      <c r="A329" t="s">
        <v>595</v>
      </c>
      <c r="B329" t="s">
        <v>959</v>
      </c>
      <c r="C329" t="s">
        <v>302</v>
      </c>
      <c r="D329" t="s">
        <v>67</v>
      </c>
      <c r="E329" t="s">
        <v>986</v>
      </c>
      <c r="F329" t="s">
        <v>79</v>
      </c>
      <c r="G329" t="s">
        <v>22</v>
      </c>
      <c r="H329">
        <v>6</v>
      </c>
      <c r="I329">
        <v>35.85</v>
      </c>
      <c r="J329">
        <v>0</v>
      </c>
      <c r="K329">
        <v>215.1</v>
      </c>
    </row>
    <row r="330" spans="1:11" x14ac:dyDescent="0.25">
      <c r="A330" t="s">
        <v>596</v>
      </c>
      <c r="B330" t="s">
        <v>1216</v>
      </c>
      <c r="C330" t="s">
        <v>597</v>
      </c>
      <c r="D330" t="s">
        <v>19</v>
      </c>
      <c r="E330" t="s">
        <v>905</v>
      </c>
      <c r="F330" t="s">
        <v>983</v>
      </c>
      <c r="G330" t="s">
        <v>22</v>
      </c>
      <c r="H330">
        <v>17</v>
      </c>
      <c r="I330">
        <v>89.12</v>
      </c>
      <c r="J330" t="s">
        <v>951</v>
      </c>
      <c r="K330">
        <v>1515.04</v>
      </c>
    </row>
    <row r="331" spans="1:11" x14ac:dyDescent="0.25">
      <c r="A331" t="s">
        <v>598</v>
      </c>
      <c r="B331" t="s">
        <v>1217</v>
      </c>
      <c r="C331" t="s">
        <v>599</v>
      </c>
      <c r="D331" t="s">
        <v>99</v>
      </c>
      <c r="E331" t="s">
        <v>940</v>
      </c>
      <c r="F331" t="s">
        <v>906</v>
      </c>
      <c r="G331" t="s">
        <v>43</v>
      </c>
      <c r="H331">
        <v>44</v>
      </c>
      <c r="I331">
        <v>324.99</v>
      </c>
      <c r="J331">
        <v>0</v>
      </c>
      <c r="K331">
        <v>14299.56</v>
      </c>
    </row>
    <row r="332" spans="1:11" x14ac:dyDescent="0.25">
      <c r="A332" t="s">
        <v>600</v>
      </c>
      <c r="B332" t="s">
        <v>1218</v>
      </c>
      <c r="C332" t="s">
        <v>601</v>
      </c>
      <c r="D332" t="s">
        <v>31</v>
      </c>
      <c r="E332" t="s">
        <v>986</v>
      </c>
      <c r="F332" t="s">
        <v>54</v>
      </c>
      <c r="G332" t="s">
        <v>55</v>
      </c>
      <c r="H332">
        <v>23</v>
      </c>
      <c r="I332">
        <v>427.44</v>
      </c>
      <c r="J332">
        <v>20</v>
      </c>
      <c r="K332">
        <v>7864.9</v>
      </c>
    </row>
    <row r="333" spans="1:11" x14ac:dyDescent="0.25">
      <c r="A333" t="s">
        <v>602</v>
      </c>
      <c r="B333" t="s">
        <v>1219</v>
      </c>
      <c r="D333" t="s">
        <v>19</v>
      </c>
      <c r="E333" t="s">
        <v>942</v>
      </c>
      <c r="F333" t="s">
        <v>939</v>
      </c>
      <c r="G333" t="s">
        <v>43</v>
      </c>
      <c r="H333">
        <v>36</v>
      </c>
      <c r="I333">
        <v>1154.25</v>
      </c>
      <c r="J333">
        <v>0</v>
      </c>
      <c r="K333">
        <v>41553</v>
      </c>
    </row>
    <row r="334" spans="1:11" x14ac:dyDescent="0.25">
      <c r="A334" t="s">
        <v>603</v>
      </c>
      <c r="B334" t="s">
        <v>1220</v>
      </c>
      <c r="C334" t="s">
        <v>389</v>
      </c>
      <c r="D334" t="s">
        <v>76</v>
      </c>
      <c r="E334" t="s">
        <v>974</v>
      </c>
      <c r="F334" t="s">
        <v>945</v>
      </c>
      <c r="G334" t="s">
        <v>55</v>
      </c>
      <c r="H334">
        <v>9</v>
      </c>
      <c r="I334">
        <v>424.78</v>
      </c>
      <c r="K334">
        <v>3440.72</v>
      </c>
    </row>
    <row r="335" spans="1:11" x14ac:dyDescent="0.25">
      <c r="A335" t="s">
        <v>604</v>
      </c>
      <c r="B335" t="s">
        <v>1221</v>
      </c>
      <c r="C335" t="s">
        <v>605</v>
      </c>
      <c r="D335" t="s">
        <v>19</v>
      </c>
      <c r="E335" t="s">
        <v>36</v>
      </c>
      <c r="F335" t="s">
        <v>962</v>
      </c>
      <c r="G335" t="s">
        <v>43</v>
      </c>
      <c r="H335">
        <v>29</v>
      </c>
      <c r="I335">
        <v>309.98</v>
      </c>
      <c r="J335">
        <v>0</v>
      </c>
      <c r="K335">
        <v>8989.42</v>
      </c>
    </row>
    <row r="336" spans="1:11" x14ac:dyDescent="0.25">
      <c r="A336" t="s">
        <v>606</v>
      </c>
      <c r="B336" t="s">
        <v>1009</v>
      </c>
      <c r="C336" t="s">
        <v>242</v>
      </c>
      <c r="D336" t="s">
        <v>25</v>
      </c>
      <c r="E336" t="s">
        <v>1072</v>
      </c>
      <c r="F336" t="s">
        <v>939</v>
      </c>
      <c r="G336" t="s">
        <v>43</v>
      </c>
      <c r="H336">
        <v>1</v>
      </c>
      <c r="I336">
        <v>1142.2</v>
      </c>
      <c r="J336" t="s">
        <v>987</v>
      </c>
      <c r="K336">
        <v>913.76</v>
      </c>
    </row>
    <row r="337" spans="1:11" x14ac:dyDescent="0.25">
      <c r="A337" t="s">
        <v>607</v>
      </c>
      <c r="B337" t="s">
        <v>991</v>
      </c>
      <c r="C337" t="s">
        <v>366</v>
      </c>
      <c r="D337" t="s">
        <v>19</v>
      </c>
      <c r="E337" t="s">
        <v>956</v>
      </c>
      <c r="F337" t="s">
        <v>906</v>
      </c>
      <c r="G337" t="s">
        <v>43</v>
      </c>
      <c r="H337">
        <v>42</v>
      </c>
      <c r="I337">
        <v>331.37</v>
      </c>
      <c r="J337" t="s">
        <v>1025</v>
      </c>
      <c r="K337">
        <v>12525.79</v>
      </c>
    </row>
    <row r="338" spans="1:11" x14ac:dyDescent="0.25">
      <c r="A338" t="s">
        <v>608</v>
      </c>
      <c r="B338" t="s">
        <v>1222</v>
      </c>
      <c r="C338" t="s">
        <v>162</v>
      </c>
      <c r="D338" t="s">
        <v>99</v>
      </c>
      <c r="E338" t="s">
        <v>925</v>
      </c>
      <c r="F338" t="s">
        <v>906</v>
      </c>
      <c r="G338" t="s">
        <v>43</v>
      </c>
      <c r="H338">
        <v>23</v>
      </c>
      <c r="I338">
        <v>316.74</v>
      </c>
      <c r="J338">
        <v>0</v>
      </c>
      <c r="K338">
        <v>7285.02</v>
      </c>
    </row>
    <row r="339" spans="1:11" x14ac:dyDescent="0.25">
      <c r="A339" t="s">
        <v>609</v>
      </c>
      <c r="B339" t="s">
        <v>1223</v>
      </c>
      <c r="C339" t="s">
        <v>237</v>
      </c>
      <c r="D339" t="s">
        <v>67</v>
      </c>
      <c r="E339" t="s">
        <v>892</v>
      </c>
      <c r="F339" t="s">
        <v>939</v>
      </c>
      <c r="G339" t="s">
        <v>43</v>
      </c>
      <c r="H339">
        <v>16</v>
      </c>
      <c r="I339">
        <v>1378.24</v>
      </c>
      <c r="J339">
        <v>20</v>
      </c>
      <c r="K339">
        <v>17641.47</v>
      </c>
    </row>
    <row r="340" spans="1:11" x14ac:dyDescent="0.25">
      <c r="A340" t="s">
        <v>610</v>
      </c>
      <c r="B340" t="s">
        <v>1224</v>
      </c>
      <c r="C340" t="s">
        <v>611</v>
      </c>
      <c r="D340" t="s">
        <v>50</v>
      </c>
      <c r="E340" t="s">
        <v>905</v>
      </c>
      <c r="F340" t="s">
        <v>927</v>
      </c>
      <c r="G340" t="s">
        <v>22</v>
      </c>
      <c r="H340">
        <v>2</v>
      </c>
      <c r="I340">
        <v>35.79</v>
      </c>
      <c r="J340">
        <v>15</v>
      </c>
      <c r="K340">
        <v>60.84</v>
      </c>
    </row>
    <row r="341" spans="1:11" x14ac:dyDescent="0.25">
      <c r="A341" t="s">
        <v>612</v>
      </c>
      <c r="B341" t="s">
        <v>912</v>
      </c>
      <c r="C341" t="s">
        <v>257</v>
      </c>
      <c r="D341" t="s">
        <v>35</v>
      </c>
      <c r="E341" t="s">
        <v>889</v>
      </c>
      <c r="F341" t="s">
        <v>931</v>
      </c>
      <c r="G341" t="s">
        <v>43</v>
      </c>
      <c r="H341">
        <v>1</v>
      </c>
      <c r="I341" t="s">
        <v>1225</v>
      </c>
      <c r="J341">
        <v>15</v>
      </c>
      <c r="K341">
        <v>1100.0999999999999</v>
      </c>
    </row>
    <row r="342" spans="1:11" x14ac:dyDescent="0.25">
      <c r="A342" t="s">
        <v>613</v>
      </c>
      <c r="B342" t="s">
        <v>1226</v>
      </c>
      <c r="C342" t="s">
        <v>277</v>
      </c>
      <c r="D342" t="s">
        <v>35</v>
      </c>
      <c r="E342" t="s">
        <v>913</v>
      </c>
      <c r="F342" t="s">
        <v>903</v>
      </c>
      <c r="G342" t="s">
        <v>28</v>
      </c>
      <c r="H342">
        <v>33</v>
      </c>
      <c r="I342">
        <v>132.47</v>
      </c>
      <c r="J342">
        <v>5</v>
      </c>
      <c r="K342">
        <v>4152.93</v>
      </c>
    </row>
    <row r="343" spans="1:11" x14ac:dyDescent="0.25">
      <c r="A343" t="s">
        <v>614</v>
      </c>
      <c r="B343" t="s">
        <v>1227</v>
      </c>
      <c r="C343" t="s">
        <v>615</v>
      </c>
      <c r="D343" t="s">
        <v>50</v>
      </c>
      <c r="E343" t="s">
        <v>14</v>
      </c>
      <c r="F343" t="s">
        <v>929</v>
      </c>
      <c r="G343" t="s">
        <v>43</v>
      </c>
      <c r="H343">
        <v>20</v>
      </c>
      <c r="I343">
        <v>1300.99</v>
      </c>
      <c r="J343" t="s">
        <v>899</v>
      </c>
      <c r="K343">
        <v>24718.81</v>
      </c>
    </row>
    <row r="344" spans="1:11" x14ac:dyDescent="0.25">
      <c r="A344" t="s">
        <v>616</v>
      </c>
      <c r="B344" t="s">
        <v>1228</v>
      </c>
      <c r="C344" t="s">
        <v>235</v>
      </c>
      <c r="D344" t="s">
        <v>99</v>
      </c>
      <c r="E344" t="s">
        <v>913</v>
      </c>
      <c r="F344" t="s">
        <v>15</v>
      </c>
      <c r="G344" t="s">
        <v>16</v>
      </c>
      <c r="H344">
        <v>39</v>
      </c>
      <c r="I344">
        <v>88.67</v>
      </c>
      <c r="J344">
        <v>10</v>
      </c>
      <c r="K344">
        <v>4198.26</v>
      </c>
    </row>
    <row r="345" spans="1:11" x14ac:dyDescent="0.25">
      <c r="A345" t="s">
        <v>617</v>
      </c>
      <c r="B345" t="s">
        <v>1229</v>
      </c>
      <c r="C345" t="s">
        <v>618</v>
      </c>
      <c r="E345" t="s">
        <v>967</v>
      </c>
      <c r="F345" t="s">
        <v>82</v>
      </c>
      <c r="G345" t="s">
        <v>43</v>
      </c>
      <c r="H345">
        <v>18</v>
      </c>
      <c r="I345">
        <v>1298.3599999999999</v>
      </c>
      <c r="J345">
        <v>0.1</v>
      </c>
      <c r="K345">
        <v>21033.43</v>
      </c>
    </row>
    <row r="346" spans="1:11" x14ac:dyDescent="0.25">
      <c r="A346" t="s">
        <v>619</v>
      </c>
      <c r="B346" t="s">
        <v>1082</v>
      </c>
      <c r="C346" t="s">
        <v>620</v>
      </c>
      <c r="D346" t="s">
        <v>39</v>
      </c>
      <c r="E346" t="s">
        <v>974</v>
      </c>
      <c r="F346" t="s">
        <v>32</v>
      </c>
      <c r="G346" t="s">
        <v>22</v>
      </c>
      <c r="H346">
        <v>27</v>
      </c>
      <c r="I346">
        <v>47.78</v>
      </c>
      <c r="J346">
        <v>10</v>
      </c>
      <c r="K346">
        <v>1161.05</v>
      </c>
    </row>
    <row r="347" spans="1:11" x14ac:dyDescent="0.25">
      <c r="A347" t="s">
        <v>621</v>
      </c>
      <c r="B347" t="s">
        <v>1010</v>
      </c>
      <c r="C347" t="s">
        <v>622</v>
      </c>
      <c r="D347" t="s">
        <v>99</v>
      </c>
      <c r="E347" t="s">
        <v>892</v>
      </c>
      <c r="F347" t="s">
        <v>969</v>
      </c>
      <c r="G347" t="s">
        <v>16</v>
      </c>
      <c r="H347">
        <v>46</v>
      </c>
      <c r="I347">
        <v>89.36</v>
      </c>
      <c r="J347">
        <v>0</v>
      </c>
      <c r="K347">
        <v>4110.5600000000004</v>
      </c>
    </row>
    <row r="348" spans="1:11" x14ac:dyDescent="0.25">
      <c r="A348" t="s">
        <v>623</v>
      </c>
      <c r="B348" t="s">
        <v>1230</v>
      </c>
      <c r="C348" t="s">
        <v>624</v>
      </c>
      <c r="D348" t="s">
        <v>25</v>
      </c>
      <c r="E348" t="s">
        <v>940</v>
      </c>
      <c r="F348" t="s">
        <v>939</v>
      </c>
      <c r="G348" t="s">
        <v>43</v>
      </c>
      <c r="H348">
        <v>5</v>
      </c>
      <c r="I348">
        <v>1081.98</v>
      </c>
      <c r="J348">
        <v>0</v>
      </c>
      <c r="K348">
        <v>5409.9</v>
      </c>
    </row>
    <row r="349" spans="1:11" x14ac:dyDescent="0.25">
      <c r="A349" t="s">
        <v>426</v>
      </c>
      <c r="B349" t="s">
        <v>1231</v>
      </c>
      <c r="C349" t="s">
        <v>427</v>
      </c>
      <c r="D349" t="s">
        <v>67</v>
      </c>
      <c r="E349" t="s">
        <v>20</v>
      </c>
      <c r="F349" t="s">
        <v>906</v>
      </c>
      <c r="G349" t="s">
        <v>43</v>
      </c>
      <c r="H349">
        <v>24</v>
      </c>
      <c r="I349">
        <v>363.88</v>
      </c>
      <c r="J349" t="s">
        <v>951</v>
      </c>
      <c r="K349">
        <v>8733.1200000000008</v>
      </c>
    </row>
    <row r="350" spans="1:11" x14ac:dyDescent="0.25">
      <c r="A350" t="s">
        <v>625</v>
      </c>
      <c r="B350" t="s">
        <v>999</v>
      </c>
      <c r="C350" t="s">
        <v>131</v>
      </c>
      <c r="D350" t="s">
        <v>19</v>
      </c>
      <c r="E350" t="s">
        <v>974</v>
      </c>
      <c r="F350" t="s">
        <v>962</v>
      </c>
      <c r="G350" t="s">
        <v>43</v>
      </c>
      <c r="H350">
        <v>28</v>
      </c>
      <c r="I350">
        <v>341.9</v>
      </c>
      <c r="J350">
        <v>0</v>
      </c>
      <c r="K350">
        <v>9573.2000000000007</v>
      </c>
    </row>
    <row r="351" spans="1:11" x14ac:dyDescent="0.25">
      <c r="A351" t="s">
        <v>626</v>
      </c>
      <c r="B351" t="s">
        <v>1232</v>
      </c>
      <c r="C351" t="s">
        <v>627</v>
      </c>
      <c r="D351" t="s">
        <v>19</v>
      </c>
      <c r="E351" t="s">
        <v>901</v>
      </c>
      <c r="F351" t="s">
        <v>947</v>
      </c>
      <c r="G351" t="s">
        <v>22</v>
      </c>
      <c r="H351">
        <v>6</v>
      </c>
      <c r="I351">
        <v>43.43</v>
      </c>
      <c r="J351">
        <v>0</v>
      </c>
      <c r="K351">
        <v>260.58</v>
      </c>
    </row>
    <row r="352" spans="1:11" x14ac:dyDescent="0.25">
      <c r="A352" t="s">
        <v>628</v>
      </c>
      <c r="B352" t="s">
        <v>1233</v>
      </c>
      <c r="C352" t="s">
        <v>629</v>
      </c>
      <c r="D352" t="s">
        <v>39</v>
      </c>
      <c r="E352" t="s">
        <v>942</v>
      </c>
      <c r="F352" t="s">
        <v>945</v>
      </c>
      <c r="G352" t="s">
        <v>55</v>
      </c>
      <c r="H352">
        <v>24</v>
      </c>
      <c r="I352">
        <v>450.78</v>
      </c>
      <c r="J352">
        <v>0</v>
      </c>
      <c r="K352">
        <v>10818.72</v>
      </c>
    </row>
    <row r="353" spans="1:11" x14ac:dyDescent="0.25">
      <c r="A353" t="s">
        <v>630</v>
      </c>
      <c r="B353" t="s">
        <v>1234</v>
      </c>
      <c r="C353" t="s">
        <v>631</v>
      </c>
      <c r="D353" t="s">
        <v>50</v>
      </c>
      <c r="E353" t="s">
        <v>36</v>
      </c>
      <c r="F353" t="s">
        <v>903</v>
      </c>
      <c r="G353" t="s">
        <v>28</v>
      </c>
      <c r="H353">
        <v>7</v>
      </c>
      <c r="I353">
        <v>112.43</v>
      </c>
      <c r="J353">
        <v>20</v>
      </c>
      <c r="K353">
        <v>629.61</v>
      </c>
    </row>
    <row r="354" spans="1:11" x14ac:dyDescent="0.25">
      <c r="A354" t="s">
        <v>632</v>
      </c>
      <c r="B354" t="s">
        <v>1235</v>
      </c>
      <c r="C354" t="s">
        <v>633</v>
      </c>
      <c r="D354" t="s">
        <v>31</v>
      </c>
      <c r="E354" t="s">
        <v>1072</v>
      </c>
      <c r="F354" t="s">
        <v>934</v>
      </c>
      <c r="G354" t="s">
        <v>22</v>
      </c>
      <c r="H354">
        <v>34</v>
      </c>
      <c r="I354">
        <v>33.15</v>
      </c>
      <c r="J354">
        <v>15</v>
      </c>
      <c r="K354">
        <v>958.03</v>
      </c>
    </row>
    <row r="355" spans="1:11" x14ac:dyDescent="0.25">
      <c r="A355" t="s">
        <v>634</v>
      </c>
      <c r="B355" t="s">
        <v>1236</v>
      </c>
      <c r="C355" t="s">
        <v>635</v>
      </c>
      <c r="D355" t="s">
        <v>53</v>
      </c>
      <c r="E355" t="s">
        <v>925</v>
      </c>
      <c r="F355" t="s">
        <v>911</v>
      </c>
      <c r="G355" t="s">
        <v>55</v>
      </c>
      <c r="H355">
        <v>16</v>
      </c>
      <c r="I355">
        <v>426.9</v>
      </c>
      <c r="J355">
        <v>5</v>
      </c>
      <c r="K355">
        <v>6488.88</v>
      </c>
    </row>
    <row r="356" spans="1:11" x14ac:dyDescent="0.25">
      <c r="A356" t="s">
        <v>636</v>
      </c>
      <c r="B356" t="s">
        <v>926</v>
      </c>
      <c r="C356" t="s">
        <v>637</v>
      </c>
      <c r="D356" t="s">
        <v>19</v>
      </c>
      <c r="E356" t="s">
        <v>36</v>
      </c>
      <c r="F356" t="s">
        <v>42</v>
      </c>
      <c r="G356" t="s">
        <v>43</v>
      </c>
      <c r="H356">
        <v>32</v>
      </c>
      <c r="I356">
        <v>363.33</v>
      </c>
      <c r="J356">
        <v>0</v>
      </c>
      <c r="K356">
        <v>11626.56</v>
      </c>
    </row>
    <row r="357" spans="1:11" x14ac:dyDescent="0.25">
      <c r="A357" t="s">
        <v>638</v>
      </c>
      <c r="B357" t="s">
        <v>1237</v>
      </c>
      <c r="D357" t="s">
        <v>35</v>
      </c>
      <c r="E357" t="s">
        <v>895</v>
      </c>
      <c r="F357" t="s">
        <v>893</v>
      </c>
      <c r="G357" t="s">
        <v>22</v>
      </c>
      <c r="H357">
        <v>32</v>
      </c>
      <c r="I357">
        <v>89.22</v>
      </c>
      <c r="J357">
        <v>10</v>
      </c>
      <c r="K357">
        <v>2569.54</v>
      </c>
    </row>
    <row r="358" spans="1:11" x14ac:dyDescent="0.25">
      <c r="A358" t="s">
        <v>639</v>
      </c>
      <c r="B358" t="s">
        <v>1005</v>
      </c>
      <c r="C358" t="s">
        <v>12</v>
      </c>
      <c r="D358" t="s">
        <v>31</v>
      </c>
      <c r="E358" t="s">
        <v>36</v>
      </c>
      <c r="F358" t="s">
        <v>947</v>
      </c>
      <c r="G358" t="s">
        <v>22</v>
      </c>
      <c r="H358">
        <v>34</v>
      </c>
      <c r="I358">
        <v>47.42</v>
      </c>
      <c r="J358">
        <v>0</v>
      </c>
      <c r="K358">
        <v>1612.28</v>
      </c>
    </row>
    <row r="359" spans="1:11" x14ac:dyDescent="0.25">
      <c r="A359" t="s">
        <v>640</v>
      </c>
      <c r="B359" t="s">
        <v>1238</v>
      </c>
      <c r="C359" t="s">
        <v>641</v>
      </c>
      <c r="D359" t="s">
        <v>53</v>
      </c>
      <c r="E359" t="s">
        <v>956</v>
      </c>
      <c r="F359" t="s">
        <v>911</v>
      </c>
      <c r="G359" t="s">
        <v>55</v>
      </c>
      <c r="H359">
        <v>13</v>
      </c>
      <c r="I359">
        <v>414.76</v>
      </c>
      <c r="J359" t="s">
        <v>951</v>
      </c>
      <c r="K359">
        <v>9054.02</v>
      </c>
    </row>
    <row r="360" spans="1:11" x14ac:dyDescent="0.25">
      <c r="A360" t="s">
        <v>642</v>
      </c>
      <c r="B360" t="s">
        <v>1239</v>
      </c>
      <c r="C360" t="s">
        <v>366</v>
      </c>
      <c r="D360" t="s">
        <v>50</v>
      </c>
      <c r="E360" t="s">
        <v>892</v>
      </c>
      <c r="F360" t="s">
        <v>898</v>
      </c>
      <c r="G360" t="s">
        <v>22</v>
      </c>
      <c r="H360">
        <v>5</v>
      </c>
      <c r="I360">
        <v>50.03</v>
      </c>
      <c r="J360">
        <v>0</v>
      </c>
      <c r="K360">
        <v>250.15</v>
      </c>
    </row>
    <row r="361" spans="1:11" x14ac:dyDescent="0.25">
      <c r="A361" t="s">
        <v>643</v>
      </c>
      <c r="B361" t="s">
        <v>1029</v>
      </c>
      <c r="C361" t="s">
        <v>49</v>
      </c>
      <c r="D361" t="s">
        <v>99</v>
      </c>
      <c r="E361" t="s">
        <v>942</v>
      </c>
      <c r="F361" t="s">
        <v>15</v>
      </c>
      <c r="G361" t="s">
        <v>16</v>
      </c>
      <c r="H361">
        <v>42</v>
      </c>
      <c r="I361">
        <v>99.25</v>
      </c>
      <c r="J361" t="s">
        <v>951</v>
      </c>
      <c r="K361">
        <v>4168.5</v>
      </c>
    </row>
    <row r="362" spans="1:11" x14ac:dyDescent="0.25">
      <c r="A362" t="s">
        <v>644</v>
      </c>
      <c r="B362" t="s">
        <v>1176</v>
      </c>
      <c r="C362" t="s">
        <v>645</v>
      </c>
      <c r="D362" t="s">
        <v>19</v>
      </c>
      <c r="E362" t="s">
        <v>944</v>
      </c>
      <c r="F362" t="s">
        <v>890</v>
      </c>
      <c r="G362" t="s">
        <v>16</v>
      </c>
      <c r="H362">
        <v>46</v>
      </c>
      <c r="I362">
        <v>101.67</v>
      </c>
      <c r="J362">
        <v>0</v>
      </c>
      <c r="K362">
        <v>4676.82</v>
      </c>
    </row>
    <row r="363" spans="1:11" x14ac:dyDescent="0.25">
      <c r="A363" t="s">
        <v>646</v>
      </c>
      <c r="B363" t="s">
        <v>1240</v>
      </c>
      <c r="C363" t="s">
        <v>244</v>
      </c>
      <c r="D363" t="s">
        <v>31</v>
      </c>
      <c r="E363" t="s">
        <v>905</v>
      </c>
      <c r="F363" t="s">
        <v>911</v>
      </c>
      <c r="G363" t="s">
        <v>55</v>
      </c>
      <c r="H363">
        <v>19</v>
      </c>
      <c r="I363">
        <v>473.63</v>
      </c>
      <c r="J363">
        <v>20</v>
      </c>
      <c r="K363">
        <v>7199.18</v>
      </c>
    </row>
    <row r="364" spans="1:11" x14ac:dyDescent="0.25">
      <c r="A364" t="s">
        <v>132</v>
      </c>
      <c r="B364" t="s">
        <v>1241</v>
      </c>
      <c r="C364" t="s">
        <v>133</v>
      </c>
      <c r="D364" t="s">
        <v>76</v>
      </c>
      <c r="E364" t="s">
        <v>892</v>
      </c>
      <c r="F364" t="s">
        <v>898</v>
      </c>
      <c r="G364" t="s">
        <v>22</v>
      </c>
      <c r="H364">
        <v>10</v>
      </c>
      <c r="I364">
        <v>49.55</v>
      </c>
      <c r="J364">
        <v>0</v>
      </c>
      <c r="K364">
        <v>495.5</v>
      </c>
    </row>
    <row r="365" spans="1:11" x14ac:dyDescent="0.25">
      <c r="A365" t="s">
        <v>647</v>
      </c>
      <c r="B365" t="s">
        <v>1242</v>
      </c>
      <c r="C365" t="s">
        <v>648</v>
      </c>
      <c r="D365" t="s">
        <v>25</v>
      </c>
      <c r="E365" t="s">
        <v>967</v>
      </c>
      <c r="F365" t="s">
        <v>969</v>
      </c>
      <c r="G365" t="s">
        <v>16</v>
      </c>
      <c r="H365">
        <v>33</v>
      </c>
      <c r="I365">
        <v>104.28</v>
      </c>
      <c r="J365">
        <v>0</v>
      </c>
      <c r="K365">
        <v>3441.24</v>
      </c>
    </row>
    <row r="366" spans="1:11" x14ac:dyDescent="0.25">
      <c r="A366" t="s">
        <v>649</v>
      </c>
      <c r="B366" t="s">
        <v>1243</v>
      </c>
      <c r="C366" t="s">
        <v>650</v>
      </c>
      <c r="D366" t="s">
        <v>50</v>
      </c>
      <c r="E366" t="s">
        <v>944</v>
      </c>
      <c r="F366" t="s">
        <v>993</v>
      </c>
      <c r="G366" t="s">
        <v>43</v>
      </c>
      <c r="H366">
        <v>5</v>
      </c>
      <c r="I366" t="s">
        <v>1244</v>
      </c>
      <c r="J366">
        <v>0</v>
      </c>
      <c r="K366">
        <v>1657.3</v>
      </c>
    </row>
    <row r="367" spans="1:11" x14ac:dyDescent="0.25">
      <c r="A367" t="s">
        <v>651</v>
      </c>
      <c r="B367" t="s">
        <v>1060</v>
      </c>
      <c r="C367" t="s">
        <v>432</v>
      </c>
      <c r="D367" t="s">
        <v>50</v>
      </c>
      <c r="E367" t="s">
        <v>974</v>
      </c>
      <c r="F367" t="s">
        <v>927</v>
      </c>
      <c r="G367" t="s">
        <v>22</v>
      </c>
      <c r="H367">
        <v>47</v>
      </c>
      <c r="I367">
        <v>39.44</v>
      </c>
      <c r="J367">
        <v>0</v>
      </c>
      <c r="K367">
        <v>1853.68</v>
      </c>
    </row>
    <row r="368" spans="1:11" x14ac:dyDescent="0.25">
      <c r="A368" t="s">
        <v>652</v>
      </c>
      <c r="B368" t="s">
        <v>1245</v>
      </c>
      <c r="C368" t="s">
        <v>141</v>
      </c>
      <c r="E368" t="s">
        <v>36</v>
      </c>
      <c r="F368" t="s">
        <v>903</v>
      </c>
      <c r="G368" t="s">
        <v>28</v>
      </c>
      <c r="H368">
        <v>41</v>
      </c>
      <c r="I368">
        <v>120.42</v>
      </c>
      <c r="J368" t="s">
        <v>918</v>
      </c>
      <c r="K368">
        <v>4196.6400000000003</v>
      </c>
    </row>
    <row r="369" spans="1:11" x14ac:dyDescent="0.25">
      <c r="A369" t="s">
        <v>653</v>
      </c>
      <c r="B369" t="s">
        <v>1246</v>
      </c>
      <c r="C369" t="s">
        <v>411</v>
      </c>
      <c r="D369" t="s">
        <v>53</v>
      </c>
      <c r="E369" t="s">
        <v>26</v>
      </c>
      <c r="F369" t="s">
        <v>983</v>
      </c>
      <c r="H369">
        <v>24</v>
      </c>
      <c r="I369">
        <v>89.39</v>
      </c>
      <c r="J369">
        <v>0</v>
      </c>
      <c r="K369">
        <v>2145.36</v>
      </c>
    </row>
    <row r="370" spans="1:11" x14ac:dyDescent="0.25">
      <c r="A370" t="s">
        <v>654</v>
      </c>
      <c r="B370" t="s">
        <v>1247</v>
      </c>
      <c r="C370" t="s">
        <v>655</v>
      </c>
      <c r="D370" t="s">
        <v>53</v>
      </c>
      <c r="E370" t="s">
        <v>901</v>
      </c>
      <c r="F370" t="s">
        <v>947</v>
      </c>
      <c r="G370" t="s">
        <v>22</v>
      </c>
      <c r="H370">
        <v>3</v>
      </c>
      <c r="I370">
        <v>46.19</v>
      </c>
      <c r="J370">
        <v>10</v>
      </c>
      <c r="K370">
        <v>124.71</v>
      </c>
    </row>
    <row r="371" spans="1:11" x14ac:dyDescent="0.25">
      <c r="A371" t="s">
        <v>656</v>
      </c>
      <c r="B371" t="s">
        <v>1248</v>
      </c>
      <c r="C371" t="s">
        <v>657</v>
      </c>
      <c r="D371" t="s">
        <v>25</v>
      </c>
      <c r="E371" t="s">
        <v>26</v>
      </c>
      <c r="F371" t="s">
        <v>945</v>
      </c>
      <c r="G371" t="s">
        <v>55</v>
      </c>
      <c r="H371">
        <v>45</v>
      </c>
      <c r="I371">
        <v>407.61</v>
      </c>
      <c r="J371">
        <v>10</v>
      </c>
      <c r="K371">
        <v>16508.21</v>
      </c>
    </row>
    <row r="372" spans="1:11" x14ac:dyDescent="0.25">
      <c r="A372" t="s">
        <v>658</v>
      </c>
      <c r="B372" t="s">
        <v>1160</v>
      </c>
      <c r="C372" t="s">
        <v>659</v>
      </c>
      <c r="D372" t="s">
        <v>31</v>
      </c>
      <c r="E372" t="s">
        <v>915</v>
      </c>
      <c r="F372" t="s">
        <v>927</v>
      </c>
      <c r="G372" t="s">
        <v>22</v>
      </c>
      <c r="H372">
        <v>24</v>
      </c>
      <c r="I372">
        <v>36.630000000000003</v>
      </c>
      <c r="J372">
        <v>0</v>
      </c>
      <c r="K372">
        <v>879.12</v>
      </c>
    </row>
    <row r="373" spans="1:11" x14ac:dyDescent="0.25">
      <c r="A373" t="s">
        <v>660</v>
      </c>
      <c r="B373" t="s">
        <v>1249</v>
      </c>
      <c r="C373" t="s">
        <v>661</v>
      </c>
      <c r="D373" t="s">
        <v>76</v>
      </c>
      <c r="E373" t="s">
        <v>940</v>
      </c>
      <c r="F373" t="s">
        <v>934</v>
      </c>
      <c r="G373" t="s">
        <v>22</v>
      </c>
      <c r="H373">
        <v>41</v>
      </c>
      <c r="I373">
        <v>36.32</v>
      </c>
      <c r="J373" t="s">
        <v>987</v>
      </c>
      <c r="K373">
        <v>1191.3</v>
      </c>
    </row>
    <row r="374" spans="1:11" x14ac:dyDescent="0.25">
      <c r="A374" t="s">
        <v>662</v>
      </c>
      <c r="B374" t="s">
        <v>1250</v>
      </c>
      <c r="C374" t="s">
        <v>508</v>
      </c>
      <c r="D374" t="s">
        <v>35</v>
      </c>
      <c r="E374" t="s">
        <v>905</v>
      </c>
      <c r="F374" t="s">
        <v>993</v>
      </c>
      <c r="H374">
        <v>6</v>
      </c>
      <c r="I374">
        <v>334.68</v>
      </c>
      <c r="J374">
        <v>15</v>
      </c>
      <c r="K374">
        <v>1706.87</v>
      </c>
    </row>
    <row r="375" spans="1:11" x14ac:dyDescent="0.25">
      <c r="A375" t="s">
        <v>663</v>
      </c>
      <c r="B375" t="s">
        <v>1185</v>
      </c>
      <c r="C375" t="s">
        <v>664</v>
      </c>
      <c r="D375" t="s">
        <v>39</v>
      </c>
      <c r="E375" t="s">
        <v>1072</v>
      </c>
      <c r="F375" t="s">
        <v>945</v>
      </c>
      <c r="G375" t="s">
        <v>55</v>
      </c>
      <c r="H375">
        <v>49</v>
      </c>
      <c r="I375">
        <v>424.69</v>
      </c>
      <c r="J375">
        <v>0</v>
      </c>
      <c r="K375">
        <v>20809.810000000001</v>
      </c>
    </row>
    <row r="376" spans="1:11" x14ac:dyDescent="0.25">
      <c r="A376" t="s">
        <v>665</v>
      </c>
      <c r="B376" t="s">
        <v>1024</v>
      </c>
      <c r="C376" t="s">
        <v>666</v>
      </c>
      <c r="D376" t="s">
        <v>53</v>
      </c>
      <c r="E376" t="s">
        <v>905</v>
      </c>
      <c r="F376" t="s">
        <v>962</v>
      </c>
      <c r="G376" t="s">
        <v>43</v>
      </c>
      <c r="H376">
        <v>45</v>
      </c>
      <c r="I376">
        <v>333.44</v>
      </c>
      <c r="J376">
        <v>0</v>
      </c>
      <c r="K376">
        <v>15004.8</v>
      </c>
    </row>
    <row r="377" spans="1:11" x14ac:dyDescent="0.25">
      <c r="A377" t="s">
        <v>667</v>
      </c>
      <c r="B377" t="s">
        <v>1251</v>
      </c>
      <c r="C377" t="s">
        <v>129</v>
      </c>
      <c r="D377" t="s">
        <v>25</v>
      </c>
      <c r="E377" t="s">
        <v>944</v>
      </c>
      <c r="F377" t="s">
        <v>893</v>
      </c>
      <c r="G377" t="s">
        <v>22</v>
      </c>
      <c r="H377">
        <v>16</v>
      </c>
      <c r="I377">
        <v>75.849999999999994</v>
      </c>
      <c r="J377">
        <v>0</v>
      </c>
      <c r="K377">
        <v>1213.5999999999999</v>
      </c>
    </row>
    <row r="378" spans="1:11" x14ac:dyDescent="0.25">
      <c r="A378" t="s">
        <v>668</v>
      </c>
      <c r="B378" t="s">
        <v>973</v>
      </c>
      <c r="C378" t="s">
        <v>315</v>
      </c>
      <c r="D378" t="s">
        <v>25</v>
      </c>
      <c r="E378" t="s">
        <v>925</v>
      </c>
      <c r="F378" t="s">
        <v>906</v>
      </c>
      <c r="G378" t="s">
        <v>43</v>
      </c>
      <c r="H378">
        <v>40</v>
      </c>
      <c r="I378">
        <v>363.62</v>
      </c>
      <c r="J378" t="s">
        <v>987</v>
      </c>
      <c r="K378">
        <v>11635.84</v>
      </c>
    </row>
    <row r="379" spans="1:11" x14ac:dyDescent="0.25">
      <c r="A379" t="s">
        <v>669</v>
      </c>
      <c r="B379" t="s">
        <v>1252</v>
      </c>
      <c r="C379" t="s">
        <v>670</v>
      </c>
      <c r="D379" t="s">
        <v>39</v>
      </c>
      <c r="E379" t="s">
        <v>925</v>
      </c>
      <c r="F379" t="s">
        <v>890</v>
      </c>
      <c r="G379" t="s">
        <v>16</v>
      </c>
      <c r="H379">
        <v>46</v>
      </c>
      <c r="I379">
        <v>94.54</v>
      </c>
      <c r="J379">
        <v>0</v>
      </c>
      <c r="K379">
        <v>4348.84</v>
      </c>
    </row>
    <row r="380" spans="1:11" x14ac:dyDescent="0.25">
      <c r="A380" t="s">
        <v>671</v>
      </c>
      <c r="B380" t="s">
        <v>1009</v>
      </c>
      <c r="C380" t="s">
        <v>672</v>
      </c>
      <c r="D380" t="s">
        <v>53</v>
      </c>
      <c r="E380" t="s">
        <v>14</v>
      </c>
      <c r="F380" t="s">
        <v>79</v>
      </c>
      <c r="G380" t="s">
        <v>22</v>
      </c>
      <c r="H380">
        <v>22</v>
      </c>
      <c r="I380">
        <v>39.22</v>
      </c>
      <c r="J380">
        <v>10</v>
      </c>
      <c r="K380">
        <v>776.56</v>
      </c>
    </row>
    <row r="381" spans="1:11" x14ac:dyDescent="0.25">
      <c r="A381" t="s">
        <v>673</v>
      </c>
      <c r="B381" t="s">
        <v>1253</v>
      </c>
      <c r="C381" t="s">
        <v>143</v>
      </c>
      <c r="D381" t="s">
        <v>76</v>
      </c>
      <c r="E381" t="s">
        <v>956</v>
      </c>
      <c r="F381" t="s">
        <v>15</v>
      </c>
      <c r="G381" t="s">
        <v>16</v>
      </c>
      <c r="H381">
        <v>46</v>
      </c>
      <c r="I381">
        <v>101.18</v>
      </c>
      <c r="J381">
        <v>10</v>
      </c>
      <c r="K381">
        <v>4188.8500000000004</v>
      </c>
    </row>
    <row r="382" spans="1:11" x14ac:dyDescent="0.25">
      <c r="A382" t="s">
        <v>674</v>
      </c>
      <c r="B382" t="s">
        <v>1009</v>
      </c>
      <c r="C382" t="s">
        <v>413</v>
      </c>
      <c r="D382" t="s">
        <v>39</v>
      </c>
      <c r="E382" t="s">
        <v>889</v>
      </c>
      <c r="F382" t="s">
        <v>934</v>
      </c>
      <c r="G382" t="s">
        <v>22</v>
      </c>
      <c r="H382">
        <v>43</v>
      </c>
      <c r="I382">
        <v>37.590000000000003</v>
      </c>
      <c r="J382">
        <v>0</v>
      </c>
      <c r="K382">
        <v>1616.37</v>
      </c>
    </row>
    <row r="383" spans="1:11" x14ac:dyDescent="0.25">
      <c r="A383" t="s">
        <v>675</v>
      </c>
      <c r="B383" t="s">
        <v>1254</v>
      </c>
      <c r="C383" t="s">
        <v>676</v>
      </c>
      <c r="D383" t="s">
        <v>67</v>
      </c>
      <c r="E383" t="s">
        <v>895</v>
      </c>
      <c r="F383" t="s">
        <v>903</v>
      </c>
      <c r="G383" t="s">
        <v>28</v>
      </c>
      <c r="H383">
        <v>24</v>
      </c>
      <c r="I383">
        <v>112.48</v>
      </c>
      <c r="J383">
        <v>5</v>
      </c>
      <c r="K383">
        <v>2564.54</v>
      </c>
    </row>
    <row r="384" spans="1:11" x14ac:dyDescent="0.25">
      <c r="A384" t="s">
        <v>677</v>
      </c>
      <c r="B384" t="s">
        <v>1255</v>
      </c>
      <c r="C384" t="s">
        <v>531</v>
      </c>
      <c r="D384" t="s">
        <v>25</v>
      </c>
      <c r="E384" t="s">
        <v>36</v>
      </c>
      <c r="F384" t="s">
        <v>21</v>
      </c>
      <c r="G384" t="s">
        <v>22</v>
      </c>
      <c r="H384">
        <v>20</v>
      </c>
      <c r="I384">
        <v>76.930000000000007</v>
      </c>
      <c r="K384">
        <v>1461.67</v>
      </c>
    </row>
    <row r="385" spans="1:11" x14ac:dyDescent="0.25">
      <c r="A385" t="s">
        <v>678</v>
      </c>
      <c r="B385" t="s">
        <v>1219</v>
      </c>
      <c r="C385" t="s">
        <v>679</v>
      </c>
      <c r="D385" t="s">
        <v>50</v>
      </c>
      <c r="E385" t="s">
        <v>889</v>
      </c>
      <c r="F385" t="s">
        <v>903</v>
      </c>
      <c r="G385" t="s">
        <v>28</v>
      </c>
      <c r="H385">
        <v>40</v>
      </c>
      <c r="I385">
        <v>117.84</v>
      </c>
      <c r="J385">
        <v>20</v>
      </c>
      <c r="K385">
        <v>3770.88</v>
      </c>
    </row>
    <row r="386" spans="1:11" x14ac:dyDescent="0.25">
      <c r="A386" t="s">
        <v>680</v>
      </c>
      <c r="B386" t="s">
        <v>1256</v>
      </c>
      <c r="C386" t="s">
        <v>681</v>
      </c>
      <c r="D386" t="s">
        <v>25</v>
      </c>
      <c r="E386" t="s">
        <v>895</v>
      </c>
      <c r="F386" t="s">
        <v>934</v>
      </c>
      <c r="G386" t="s">
        <v>22</v>
      </c>
      <c r="H386">
        <v>48</v>
      </c>
      <c r="I386">
        <v>34.11</v>
      </c>
      <c r="J386">
        <v>20</v>
      </c>
      <c r="K386">
        <v>1309.82</v>
      </c>
    </row>
    <row r="387" spans="1:11" x14ac:dyDescent="0.25">
      <c r="A387" t="s">
        <v>682</v>
      </c>
      <c r="B387" t="s">
        <v>1257</v>
      </c>
      <c r="C387" t="s">
        <v>683</v>
      </c>
      <c r="D387" t="s">
        <v>25</v>
      </c>
      <c r="E387" t="s">
        <v>944</v>
      </c>
      <c r="F387" t="s">
        <v>945</v>
      </c>
      <c r="G387" t="s">
        <v>55</v>
      </c>
      <c r="H387">
        <v>28</v>
      </c>
      <c r="I387">
        <v>486.1</v>
      </c>
      <c r="J387">
        <v>0</v>
      </c>
      <c r="K387">
        <v>13610.8</v>
      </c>
    </row>
    <row r="388" spans="1:11" x14ac:dyDescent="0.25">
      <c r="A388" t="s">
        <v>684</v>
      </c>
      <c r="B388" t="s">
        <v>1258</v>
      </c>
      <c r="C388" t="s">
        <v>49</v>
      </c>
      <c r="D388" t="s">
        <v>50</v>
      </c>
      <c r="E388" t="s">
        <v>60</v>
      </c>
      <c r="F388" t="s">
        <v>54</v>
      </c>
      <c r="G388" t="s">
        <v>55</v>
      </c>
      <c r="H388">
        <v>47</v>
      </c>
      <c r="I388">
        <v>457.94</v>
      </c>
      <c r="J388" t="s">
        <v>987</v>
      </c>
      <c r="K388">
        <v>17218.54</v>
      </c>
    </row>
    <row r="389" spans="1:11" x14ac:dyDescent="0.25">
      <c r="A389" t="s">
        <v>685</v>
      </c>
      <c r="B389" t="s">
        <v>1259</v>
      </c>
      <c r="C389" t="s">
        <v>686</v>
      </c>
      <c r="D389" t="s">
        <v>31</v>
      </c>
      <c r="E389" t="s">
        <v>967</v>
      </c>
      <c r="F389" t="s">
        <v>903</v>
      </c>
      <c r="G389" t="s">
        <v>28</v>
      </c>
      <c r="H389">
        <v>46</v>
      </c>
      <c r="I389">
        <v>122.82</v>
      </c>
      <c r="J389">
        <v>0</v>
      </c>
      <c r="K389">
        <v>5649.72</v>
      </c>
    </row>
    <row r="390" spans="1:11" x14ac:dyDescent="0.25">
      <c r="A390" t="s">
        <v>687</v>
      </c>
      <c r="B390" t="s">
        <v>1058</v>
      </c>
      <c r="C390" t="s">
        <v>688</v>
      </c>
      <c r="D390" t="s">
        <v>25</v>
      </c>
      <c r="E390" t="s">
        <v>944</v>
      </c>
      <c r="F390" t="s">
        <v>911</v>
      </c>
      <c r="G390" t="s">
        <v>55</v>
      </c>
      <c r="H390">
        <v>19</v>
      </c>
      <c r="I390">
        <v>504.28</v>
      </c>
      <c r="J390">
        <v>10</v>
      </c>
      <c r="K390">
        <v>8623.19</v>
      </c>
    </row>
    <row r="391" spans="1:11" x14ac:dyDescent="0.25">
      <c r="A391" t="s">
        <v>689</v>
      </c>
      <c r="B391" t="s">
        <v>1260</v>
      </c>
      <c r="C391" t="s">
        <v>690</v>
      </c>
      <c r="D391" t="s">
        <v>35</v>
      </c>
      <c r="E391" t="s">
        <v>901</v>
      </c>
      <c r="F391" t="s">
        <v>893</v>
      </c>
      <c r="G391" t="s">
        <v>22</v>
      </c>
      <c r="H391">
        <v>44</v>
      </c>
      <c r="I391">
        <v>77.59</v>
      </c>
      <c r="J391">
        <v>15</v>
      </c>
      <c r="K391">
        <v>2901.87</v>
      </c>
    </row>
    <row r="392" spans="1:11" x14ac:dyDescent="0.25">
      <c r="A392" t="s">
        <v>691</v>
      </c>
      <c r="B392" t="s">
        <v>1261</v>
      </c>
      <c r="C392" t="s">
        <v>692</v>
      </c>
      <c r="D392" t="s">
        <v>25</v>
      </c>
      <c r="E392" t="s">
        <v>944</v>
      </c>
      <c r="F392" t="s">
        <v>947</v>
      </c>
      <c r="H392">
        <v>-41</v>
      </c>
      <c r="I392">
        <v>49.98</v>
      </c>
      <c r="J392">
        <v>20</v>
      </c>
      <c r="K392">
        <v>1639.34</v>
      </c>
    </row>
    <row r="393" spans="1:11" x14ac:dyDescent="0.25">
      <c r="A393" t="s">
        <v>693</v>
      </c>
      <c r="B393" t="s">
        <v>1167</v>
      </c>
      <c r="C393" t="s">
        <v>546</v>
      </c>
      <c r="D393" t="s">
        <v>31</v>
      </c>
      <c r="E393" t="s">
        <v>913</v>
      </c>
      <c r="F393" t="s">
        <v>54</v>
      </c>
      <c r="G393" t="s">
        <v>55</v>
      </c>
      <c r="H393">
        <v>2</v>
      </c>
      <c r="I393">
        <v>486.37</v>
      </c>
      <c r="J393">
        <v>15</v>
      </c>
      <c r="K393">
        <v>826.83</v>
      </c>
    </row>
    <row r="394" spans="1:11" x14ac:dyDescent="0.25">
      <c r="A394" t="s">
        <v>694</v>
      </c>
      <c r="B394" t="s">
        <v>1262</v>
      </c>
      <c r="C394" t="s">
        <v>521</v>
      </c>
      <c r="D394" t="s">
        <v>50</v>
      </c>
      <c r="E394" t="s">
        <v>892</v>
      </c>
      <c r="F394" t="s">
        <v>54</v>
      </c>
      <c r="G394" t="s">
        <v>55</v>
      </c>
      <c r="H394">
        <v>39</v>
      </c>
      <c r="I394">
        <v>433.95</v>
      </c>
      <c r="J394">
        <v>0</v>
      </c>
      <c r="K394">
        <v>16924.05</v>
      </c>
    </row>
    <row r="395" spans="1:11" x14ac:dyDescent="0.25">
      <c r="A395" t="s">
        <v>695</v>
      </c>
      <c r="B395" t="s">
        <v>1263</v>
      </c>
      <c r="C395" t="s">
        <v>696</v>
      </c>
      <c r="D395" t="s">
        <v>35</v>
      </c>
      <c r="E395" t="s">
        <v>905</v>
      </c>
      <c r="F395" t="s">
        <v>983</v>
      </c>
      <c r="G395" t="s">
        <v>22</v>
      </c>
      <c r="H395">
        <v>3</v>
      </c>
      <c r="I395">
        <v>72.91</v>
      </c>
      <c r="J395">
        <v>20</v>
      </c>
      <c r="K395">
        <v>174.98</v>
      </c>
    </row>
    <row r="396" spans="1:11" x14ac:dyDescent="0.25">
      <c r="A396" t="s">
        <v>697</v>
      </c>
      <c r="B396" t="s">
        <v>1264</v>
      </c>
      <c r="C396" t="s">
        <v>698</v>
      </c>
      <c r="D396" t="s">
        <v>25</v>
      </c>
      <c r="E396" t="s">
        <v>956</v>
      </c>
      <c r="F396" t="s">
        <v>931</v>
      </c>
      <c r="G396" t="s">
        <v>43</v>
      </c>
      <c r="H396">
        <v>3</v>
      </c>
      <c r="I396">
        <v>1095.1600000000001</v>
      </c>
      <c r="J396">
        <v>5</v>
      </c>
      <c r="K396">
        <v>3121.21</v>
      </c>
    </row>
    <row r="397" spans="1:11" x14ac:dyDescent="0.25">
      <c r="A397" t="s">
        <v>699</v>
      </c>
      <c r="B397" t="s">
        <v>1077</v>
      </c>
      <c r="C397" t="s">
        <v>184</v>
      </c>
      <c r="D397" t="s">
        <v>35</v>
      </c>
      <c r="E397" t="s">
        <v>905</v>
      </c>
      <c r="F397" t="s">
        <v>890</v>
      </c>
      <c r="G397" t="s">
        <v>16</v>
      </c>
      <c r="H397">
        <v>39</v>
      </c>
      <c r="I397">
        <v>108.74</v>
      </c>
      <c r="J397" t="s">
        <v>987</v>
      </c>
      <c r="K397">
        <v>3392.69</v>
      </c>
    </row>
    <row r="398" spans="1:11" x14ac:dyDescent="0.25">
      <c r="A398" t="s">
        <v>700</v>
      </c>
      <c r="B398" t="s">
        <v>1265</v>
      </c>
      <c r="C398" t="s">
        <v>701</v>
      </c>
      <c r="E398" t="s">
        <v>940</v>
      </c>
      <c r="F398" t="s">
        <v>969</v>
      </c>
      <c r="G398" t="s">
        <v>16</v>
      </c>
      <c r="H398">
        <v>42</v>
      </c>
      <c r="I398">
        <v>87.14</v>
      </c>
      <c r="J398" t="s">
        <v>1025</v>
      </c>
      <c r="K398">
        <v>3293.89</v>
      </c>
    </row>
    <row r="399" spans="1:11" x14ac:dyDescent="0.25">
      <c r="A399" t="s">
        <v>702</v>
      </c>
      <c r="B399" t="s">
        <v>1266</v>
      </c>
      <c r="C399" t="s">
        <v>542</v>
      </c>
      <c r="D399" t="s">
        <v>76</v>
      </c>
      <c r="E399" t="s">
        <v>1072</v>
      </c>
      <c r="F399" t="s">
        <v>54</v>
      </c>
      <c r="G399" t="s">
        <v>55</v>
      </c>
      <c r="H399">
        <v>28</v>
      </c>
      <c r="I399">
        <v>455.26</v>
      </c>
      <c r="J399">
        <v>0</v>
      </c>
      <c r="K399">
        <v>12747.28</v>
      </c>
    </row>
    <row r="400" spans="1:11" x14ac:dyDescent="0.25">
      <c r="A400" t="s">
        <v>80</v>
      </c>
      <c r="B400" t="s">
        <v>928</v>
      </c>
      <c r="C400" t="s">
        <v>81</v>
      </c>
      <c r="D400" t="s">
        <v>76</v>
      </c>
      <c r="E400" t="s">
        <v>942</v>
      </c>
      <c r="F400" t="s">
        <v>929</v>
      </c>
      <c r="G400" t="s">
        <v>43</v>
      </c>
      <c r="H400">
        <v>17</v>
      </c>
      <c r="I400">
        <v>1237.6400000000001</v>
      </c>
      <c r="J400">
        <v>0</v>
      </c>
      <c r="K400">
        <v>21039.88</v>
      </c>
    </row>
    <row r="401" spans="1:11" x14ac:dyDescent="0.25">
      <c r="A401" t="s">
        <v>703</v>
      </c>
      <c r="B401" t="s">
        <v>1267</v>
      </c>
      <c r="C401" t="s">
        <v>704</v>
      </c>
      <c r="D401" t="s">
        <v>25</v>
      </c>
      <c r="E401" t="s">
        <v>14</v>
      </c>
      <c r="F401" t="s">
        <v>947</v>
      </c>
      <c r="G401" t="s">
        <v>22</v>
      </c>
      <c r="H401">
        <v>40</v>
      </c>
      <c r="I401">
        <v>42.83</v>
      </c>
      <c r="J401">
        <v>0</v>
      </c>
      <c r="K401">
        <v>1713.2</v>
      </c>
    </row>
    <row r="402" spans="1:11" x14ac:dyDescent="0.25">
      <c r="A402" t="s">
        <v>705</v>
      </c>
      <c r="B402" t="s">
        <v>1268</v>
      </c>
      <c r="C402" t="s">
        <v>706</v>
      </c>
      <c r="D402" t="s">
        <v>31</v>
      </c>
      <c r="E402" t="s">
        <v>967</v>
      </c>
      <c r="F402" t="s">
        <v>983</v>
      </c>
      <c r="G402" t="s">
        <v>22</v>
      </c>
      <c r="H402">
        <v>9</v>
      </c>
      <c r="I402">
        <v>72.38</v>
      </c>
      <c r="J402" t="s">
        <v>987</v>
      </c>
      <c r="K402">
        <v>521.14</v>
      </c>
    </row>
    <row r="403" spans="1:11" x14ac:dyDescent="0.25">
      <c r="A403" t="s">
        <v>707</v>
      </c>
      <c r="B403" t="s">
        <v>1269</v>
      </c>
      <c r="C403" t="s">
        <v>708</v>
      </c>
      <c r="D403" t="s">
        <v>99</v>
      </c>
      <c r="E403" t="s">
        <v>967</v>
      </c>
      <c r="F403" t="s">
        <v>893</v>
      </c>
      <c r="G403" t="s">
        <v>22</v>
      </c>
      <c r="H403">
        <v>5</v>
      </c>
      <c r="I403">
        <v>85.65</v>
      </c>
      <c r="J403">
        <v>15</v>
      </c>
      <c r="K403">
        <v>364.01</v>
      </c>
    </row>
    <row r="404" spans="1:11" x14ac:dyDescent="0.25">
      <c r="A404" t="s">
        <v>709</v>
      </c>
      <c r="B404" t="s">
        <v>1259</v>
      </c>
      <c r="C404" t="s">
        <v>710</v>
      </c>
      <c r="D404" t="s">
        <v>99</v>
      </c>
      <c r="E404" t="s">
        <v>889</v>
      </c>
      <c r="F404" t="s">
        <v>79</v>
      </c>
      <c r="G404" t="s">
        <v>22</v>
      </c>
      <c r="H404">
        <v>16</v>
      </c>
      <c r="I404">
        <v>33.450000000000003</v>
      </c>
      <c r="J404">
        <v>0</v>
      </c>
      <c r="K404">
        <v>535.20000000000005</v>
      </c>
    </row>
    <row r="405" spans="1:11" x14ac:dyDescent="0.25">
      <c r="A405" t="s">
        <v>711</v>
      </c>
      <c r="B405" t="s">
        <v>1270</v>
      </c>
      <c r="C405" t="s">
        <v>712</v>
      </c>
      <c r="D405" t="s">
        <v>67</v>
      </c>
      <c r="E405" t="s">
        <v>967</v>
      </c>
      <c r="F405" t="s">
        <v>890</v>
      </c>
      <c r="G405" t="s">
        <v>16</v>
      </c>
      <c r="H405">
        <v>40</v>
      </c>
      <c r="I405">
        <v>105.67</v>
      </c>
      <c r="J405">
        <v>15</v>
      </c>
      <c r="K405">
        <v>3592.78</v>
      </c>
    </row>
    <row r="406" spans="1:11" x14ac:dyDescent="0.25">
      <c r="A406" t="s">
        <v>713</v>
      </c>
      <c r="B406" t="s">
        <v>1271</v>
      </c>
      <c r="C406" t="s">
        <v>714</v>
      </c>
      <c r="D406" t="s">
        <v>35</v>
      </c>
      <c r="E406" t="s">
        <v>925</v>
      </c>
      <c r="F406" t="s">
        <v>32</v>
      </c>
      <c r="G406" t="s">
        <v>22</v>
      </c>
      <c r="H406">
        <v>41</v>
      </c>
      <c r="I406">
        <v>45.78</v>
      </c>
      <c r="J406">
        <v>0</v>
      </c>
      <c r="K406">
        <v>1876.98</v>
      </c>
    </row>
    <row r="407" spans="1:11" x14ac:dyDescent="0.25">
      <c r="A407" t="s">
        <v>715</v>
      </c>
      <c r="B407" t="s">
        <v>1272</v>
      </c>
      <c r="C407" t="s">
        <v>391</v>
      </c>
      <c r="E407" t="s">
        <v>36</v>
      </c>
      <c r="F407" t="s">
        <v>945</v>
      </c>
      <c r="G407" t="s">
        <v>55</v>
      </c>
      <c r="H407">
        <v>42</v>
      </c>
      <c r="I407">
        <v>408.55</v>
      </c>
      <c r="J407" t="s">
        <v>987</v>
      </c>
      <c r="K407">
        <v>13727.28</v>
      </c>
    </row>
    <row r="408" spans="1:11" x14ac:dyDescent="0.25">
      <c r="A408" t="s">
        <v>716</v>
      </c>
      <c r="B408" t="s">
        <v>1085</v>
      </c>
      <c r="C408" t="s">
        <v>184</v>
      </c>
      <c r="D408" t="s">
        <v>76</v>
      </c>
      <c r="E408" t="s">
        <v>36</v>
      </c>
      <c r="F408" t="s">
        <v>903</v>
      </c>
      <c r="G408" t="s">
        <v>28</v>
      </c>
      <c r="H408">
        <v>35</v>
      </c>
      <c r="I408">
        <v>112.38</v>
      </c>
      <c r="J408">
        <v>0.05</v>
      </c>
      <c r="K408">
        <v>3736.64</v>
      </c>
    </row>
    <row r="409" spans="1:11" x14ac:dyDescent="0.25">
      <c r="A409" t="s">
        <v>717</v>
      </c>
      <c r="B409" t="s">
        <v>1273</v>
      </c>
      <c r="C409" t="s">
        <v>718</v>
      </c>
      <c r="D409" t="s">
        <v>39</v>
      </c>
      <c r="E409" t="s">
        <v>974</v>
      </c>
      <c r="F409" t="s">
        <v>32</v>
      </c>
      <c r="G409" t="s">
        <v>22</v>
      </c>
      <c r="H409">
        <v>7</v>
      </c>
      <c r="I409">
        <v>43.51</v>
      </c>
      <c r="J409">
        <v>0</v>
      </c>
      <c r="K409">
        <v>304.57</v>
      </c>
    </row>
    <row r="410" spans="1:11" x14ac:dyDescent="0.25">
      <c r="A410" t="s">
        <v>719</v>
      </c>
      <c r="B410" t="s">
        <v>1274</v>
      </c>
      <c r="C410" t="s">
        <v>265</v>
      </c>
      <c r="D410" t="s">
        <v>25</v>
      </c>
      <c r="E410" t="s">
        <v>940</v>
      </c>
      <c r="F410" t="s">
        <v>54</v>
      </c>
      <c r="G410" t="s">
        <v>55</v>
      </c>
      <c r="H410">
        <v>20</v>
      </c>
      <c r="I410">
        <v>432.84</v>
      </c>
      <c r="J410" t="s">
        <v>899</v>
      </c>
      <c r="K410">
        <v>8223.9599999999991</v>
      </c>
    </row>
    <row r="411" spans="1:11" x14ac:dyDescent="0.25">
      <c r="A411" t="s">
        <v>720</v>
      </c>
      <c r="B411" t="s">
        <v>1275</v>
      </c>
      <c r="C411" t="s">
        <v>721</v>
      </c>
      <c r="D411" t="s">
        <v>50</v>
      </c>
      <c r="E411" t="s">
        <v>905</v>
      </c>
      <c r="F411" t="s">
        <v>945</v>
      </c>
      <c r="H411">
        <v>15</v>
      </c>
      <c r="I411">
        <v>450.07</v>
      </c>
      <c r="K411">
        <v>6751.05</v>
      </c>
    </row>
    <row r="412" spans="1:11" x14ac:dyDescent="0.25">
      <c r="A412" t="s">
        <v>722</v>
      </c>
      <c r="B412" t="s">
        <v>1276</v>
      </c>
      <c r="D412" t="s">
        <v>53</v>
      </c>
      <c r="E412" t="s">
        <v>967</v>
      </c>
      <c r="F412" t="s">
        <v>898</v>
      </c>
      <c r="G412" t="s">
        <v>22</v>
      </c>
      <c r="H412">
        <v>22</v>
      </c>
      <c r="I412">
        <v>46.07</v>
      </c>
      <c r="J412">
        <v>0</v>
      </c>
      <c r="K412">
        <v>1013.54</v>
      </c>
    </row>
    <row r="413" spans="1:11" x14ac:dyDescent="0.25">
      <c r="A413" t="s">
        <v>723</v>
      </c>
      <c r="B413" t="s">
        <v>1024</v>
      </c>
      <c r="C413" t="s">
        <v>618</v>
      </c>
      <c r="D413" t="s">
        <v>19</v>
      </c>
      <c r="E413" t="s">
        <v>974</v>
      </c>
      <c r="F413" t="s">
        <v>79</v>
      </c>
      <c r="G413" t="s">
        <v>22</v>
      </c>
      <c r="H413">
        <v>-11</v>
      </c>
      <c r="I413">
        <v>39.51</v>
      </c>
      <c r="J413">
        <v>0</v>
      </c>
      <c r="K413">
        <v>434.61</v>
      </c>
    </row>
    <row r="414" spans="1:11" x14ac:dyDescent="0.25">
      <c r="A414" t="s">
        <v>724</v>
      </c>
      <c r="B414" t="s">
        <v>1160</v>
      </c>
      <c r="C414" t="s">
        <v>725</v>
      </c>
      <c r="D414" t="s">
        <v>50</v>
      </c>
      <c r="E414" t="s">
        <v>26</v>
      </c>
      <c r="F414" t="s">
        <v>15</v>
      </c>
      <c r="G414" t="s">
        <v>16</v>
      </c>
      <c r="H414">
        <v>29</v>
      </c>
      <c r="I414">
        <v>86.98</v>
      </c>
      <c r="J414" t="s">
        <v>951</v>
      </c>
      <c r="K414">
        <v>2522.42</v>
      </c>
    </row>
    <row r="415" spans="1:11" x14ac:dyDescent="0.25">
      <c r="A415" t="s">
        <v>726</v>
      </c>
      <c r="B415" t="s">
        <v>1277</v>
      </c>
      <c r="C415" t="s">
        <v>615</v>
      </c>
      <c r="D415" t="s">
        <v>50</v>
      </c>
      <c r="E415" t="s">
        <v>1072</v>
      </c>
      <c r="F415" t="s">
        <v>21</v>
      </c>
      <c r="G415" t="s">
        <v>22</v>
      </c>
      <c r="H415">
        <v>50</v>
      </c>
      <c r="I415">
        <v>78.55</v>
      </c>
      <c r="J415">
        <v>0</v>
      </c>
      <c r="K415">
        <v>3927.5</v>
      </c>
    </row>
    <row r="416" spans="1:11" x14ac:dyDescent="0.25">
      <c r="A416" t="s">
        <v>727</v>
      </c>
      <c r="B416" t="s">
        <v>982</v>
      </c>
      <c r="C416" t="s">
        <v>728</v>
      </c>
      <c r="D416" t="s">
        <v>39</v>
      </c>
      <c r="E416" t="s">
        <v>14</v>
      </c>
      <c r="F416" t="s">
        <v>890</v>
      </c>
      <c r="G416" t="s">
        <v>16</v>
      </c>
      <c r="H416">
        <v>27</v>
      </c>
      <c r="I416">
        <v>91.27</v>
      </c>
      <c r="J416">
        <v>0</v>
      </c>
      <c r="K416">
        <v>2464.29</v>
      </c>
    </row>
    <row r="417" spans="1:11" x14ac:dyDescent="0.25">
      <c r="A417" t="s">
        <v>729</v>
      </c>
      <c r="B417" t="s">
        <v>970</v>
      </c>
      <c r="C417" t="s">
        <v>413</v>
      </c>
      <c r="D417" t="s">
        <v>25</v>
      </c>
      <c r="E417" t="s">
        <v>20</v>
      </c>
      <c r="F417" t="s">
        <v>21</v>
      </c>
      <c r="G417" t="s">
        <v>22</v>
      </c>
      <c r="H417">
        <v>18</v>
      </c>
      <c r="I417">
        <v>86.17</v>
      </c>
      <c r="J417">
        <v>15</v>
      </c>
      <c r="K417">
        <v>1318.4</v>
      </c>
    </row>
    <row r="418" spans="1:11" x14ac:dyDescent="0.25">
      <c r="A418" t="s">
        <v>730</v>
      </c>
      <c r="B418" t="s">
        <v>968</v>
      </c>
      <c r="C418" t="s">
        <v>731</v>
      </c>
      <c r="D418" t="s">
        <v>50</v>
      </c>
      <c r="E418" t="s">
        <v>905</v>
      </c>
      <c r="F418" t="s">
        <v>947</v>
      </c>
      <c r="G418" t="s">
        <v>22</v>
      </c>
      <c r="H418">
        <v>34</v>
      </c>
      <c r="I418">
        <v>49.18</v>
      </c>
      <c r="J418" t="s">
        <v>899</v>
      </c>
      <c r="K418">
        <v>1588.51</v>
      </c>
    </row>
    <row r="419" spans="1:11" x14ac:dyDescent="0.25">
      <c r="A419" t="s">
        <v>626</v>
      </c>
      <c r="B419" t="s">
        <v>1232</v>
      </c>
      <c r="C419" t="s">
        <v>627</v>
      </c>
      <c r="D419" t="s">
        <v>19</v>
      </c>
      <c r="E419" t="s">
        <v>901</v>
      </c>
      <c r="F419" t="s">
        <v>898</v>
      </c>
      <c r="G419" t="s">
        <v>22</v>
      </c>
      <c r="H419">
        <v>6</v>
      </c>
      <c r="I419" t="s">
        <v>1278</v>
      </c>
      <c r="J419">
        <v>0</v>
      </c>
      <c r="K419">
        <v>260.58</v>
      </c>
    </row>
    <row r="420" spans="1:11" x14ac:dyDescent="0.25">
      <c r="A420" t="s">
        <v>732</v>
      </c>
      <c r="B420" t="s">
        <v>1188</v>
      </c>
      <c r="C420" t="s">
        <v>733</v>
      </c>
      <c r="D420" t="s">
        <v>76</v>
      </c>
      <c r="E420" t="s">
        <v>942</v>
      </c>
      <c r="F420" t="s">
        <v>15</v>
      </c>
      <c r="G420" t="s">
        <v>16</v>
      </c>
      <c r="H420">
        <v>16</v>
      </c>
      <c r="I420">
        <v>100.17</v>
      </c>
      <c r="J420">
        <v>20</v>
      </c>
      <c r="K420">
        <v>1282.18</v>
      </c>
    </row>
    <row r="421" spans="1:11" x14ac:dyDescent="0.25">
      <c r="A421" t="s">
        <v>734</v>
      </c>
      <c r="B421" t="s">
        <v>1279</v>
      </c>
      <c r="C421" t="s">
        <v>735</v>
      </c>
      <c r="D421" t="s">
        <v>31</v>
      </c>
      <c r="E421" t="s">
        <v>14</v>
      </c>
      <c r="F421" t="s">
        <v>945</v>
      </c>
      <c r="G421" t="s">
        <v>55</v>
      </c>
      <c r="H421">
        <v>21</v>
      </c>
      <c r="I421">
        <v>465.44</v>
      </c>
      <c r="J421">
        <v>0</v>
      </c>
      <c r="K421">
        <v>9774.24</v>
      </c>
    </row>
    <row r="422" spans="1:11" x14ac:dyDescent="0.25">
      <c r="A422" t="s">
        <v>736</v>
      </c>
      <c r="B422" t="s">
        <v>1280</v>
      </c>
      <c r="C422" t="s">
        <v>737</v>
      </c>
      <c r="D422" t="s">
        <v>39</v>
      </c>
      <c r="E422" t="s">
        <v>915</v>
      </c>
      <c r="F422" t="s">
        <v>79</v>
      </c>
      <c r="G422" t="s">
        <v>22</v>
      </c>
      <c r="H422">
        <v>31</v>
      </c>
      <c r="I422">
        <v>33.04</v>
      </c>
      <c r="J422">
        <v>5</v>
      </c>
      <c r="K422">
        <v>586.59</v>
      </c>
    </row>
    <row r="423" spans="1:11" x14ac:dyDescent="0.25">
      <c r="A423" t="s">
        <v>130</v>
      </c>
      <c r="B423" t="s">
        <v>1281</v>
      </c>
      <c r="C423" t="s">
        <v>131</v>
      </c>
      <c r="D423" t="s">
        <v>25</v>
      </c>
      <c r="E423" t="s">
        <v>967</v>
      </c>
      <c r="F423" t="s">
        <v>911</v>
      </c>
      <c r="G423" t="s">
        <v>55</v>
      </c>
      <c r="H423">
        <v>44</v>
      </c>
      <c r="I423">
        <v>502.17</v>
      </c>
      <c r="J423">
        <v>20</v>
      </c>
      <c r="K423">
        <v>17676.38</v>
      </c>
    </row>
    <row r="424" spans="1:11" x14ac:dyDescent="0.25">
      <c r="A424" t="s">
        <v>738</v>
      </c>
      <c r="B424" t="s">
        <v>1282</v>
      </c>
      <c r="C424" t="s">
        <v>164</v>
      </c>
      <c r="D424" t="s">
        <v>25</v>
      </c>
      <c r="E424" t="s">
        <v>905</v>
      </c>
      <c r="F424" t="s">
        <v>939</v>
      </c>
      <c r="G424" t="s">
        <v>43</v>
      </c>
      <c r="H424">
        <v>28</v>
      </c>
      <c r="I424">
        <v>1236.0999999999999</v>
      </c>
      <c r="J424">
        <v>20</v>
      </c>
      <c r="K424">
        <v>27688.639999999999</v>
      </c>
    </row>
    <row r="425" spans="1:11" x14ac:dyDescent="0.25">
      <c r="A425" t="s">
        <v>739</v>
      </c>
      <c r="B425" t="s">
        <v>1283</v>
      </c>
      <c r="C425" t="s">
        <v>592</v>
      </c>
      <c r="D425" t="s">
        <v>67</v>
      </c>
      <c r="E425" t="s">
        <v>36</v>
      </c>
      <c r="F425" t="s">
        <v>1001</v>
      </c>
      <c r="G425" t="s">
        <v>22</v>
      </c>
      <c r="H425">
        <v>2</v>
      </c>
      <c r="I425">
        <v>37.29</v>
      </c>
      <c r="J425">
        <v>0</v>
      </c>
      <c r="K425">
        <v>74.58</v>
      </c>
    </row>
    <row r="426" spans="1:11" x14ac:dyDescent="0.25">
      <c r="A426" t="s">
        <v>740</v>
      </c>
      <c r="B426" t="s">
        <v>1135</v>
      </c>
      <c r="C426" t="s">
        <v>342</v>
      </c>
      <c r="D426" t="s">
        <v>19</v>
      </c>
      <c r="E426" t="s">
        <v>940</v>
      </c>
      <c r="F426" t="s">
        <v>890</v>
      </c>
      <c r="G426" t="s">
        <v>16</v>
      </c>
      <c r="H426">
        <v>47</v>
      </c>
      <c r="I426">
        <v>90.61</v>
      </c>
      <c r="J426">
        <v>10</v>
      </c>
      <c r="K426">
        <v>3832.8</v>
      </c>
    </row>
    <row r="427" spans="1:11" x14ac:dyDescent="0.25">
      <c r="B427" t="s">
        <v>1284</v>
      </c>
      <c r="C427" t="s">
        <v>741</v>
      </c>
      <c r="D427" t="s">
        <v>76</v>
      </c>
      <c r="E427" t="s">
        <v>940</v>
      </c>
      <c r="F427" t="s">
        <v>898</v>
      </c>
      <c r="G427" t="s">
        <v>22</v>
      </c>
      <c r="H427">
        <v>2</v>
      </c>
      <c r="I427" t="s">
        <v>1285</v>
      </c>
      <c r="J427">
        <v>10</v>
      </c>
      <c r="K427">
        <v>88.38</v>
      </c>
    </row>
    <row r="428" spans="1:11" x14ac:dyDescent="0.25">
      <c r="A428" t="s">
        <v>742</v>
      </c>
      <c r="B428" t="s">
        <v>1205</v>
      </c>
      <c r="C428" t="s">
        <v>743</v>
      </c>
      <c r="D428" t="s">
        <v>39</v>
      </c>
      <c r="E428" t="s">
        <v>925</v>
      </c>
      <c r="F428" t="s">
        <v>32</v>
      </c>
      <c r="G428" t="s">
        <v>22</v>
      </c>
      <c r="H428">
        <v>50</v>
      </c>
      <c r="I428">
        <v>48.76</v>
      </c>
      <c r="J428" t="s">
        <v>951</v>
      </c>
      <c r="K428">
        <v>2438</v>
      </c>
    </row>
    <row r="429" spans="1:11" x14ac:dyDescent="0.25">
      <c r="A429" t="s">
        <v>744</v>
      </c>
      <c r="B429" t="s">
        <v>1286</v>
      </c>
      <c r="C429" t="s">
        <v>745</v>
      </c>
      <c r="D429" t="s">
        <v>35</v>
      </c>
      <c r="E429" t="s">
        <v>1072</v>
      </c>
      <c r="F429" t="s">
        <v>32</v>
      </c>
      <c r="G429" t="s">
        <v>22</v>
      </c>
      <c r="H429">
        <v>29</v>
      </c>
      <c r="I429">
        <v>48.08</v>
      </c>
      <c r="K429">
        <v>1394.32</v>
      </c>
    </row>
    <row r="430" spans="1:11" x14ac:dyDescent="0.25">
      <c r="A430" t="s">
        <v>746</v>
      </c>
      <c r="B430" t="s">
        <v>1287</v>
      </c>
      <c r="C430" t="s">
        <v>137</v>
      </c>
      <c r="D430" t="s">
        <v>99</v>
      </c>
      <c r="E430" t="s">
        <v>60</v>
      </c>
      <c r="F430" t="s">
        <v>896</v>
      </c>
      <c r="G430" t="s">
        <v>28</v>
      </c>
      <c r="H430">
        <v>43</v>
      </c>
      <c r="I430">
        <v>133.96</v>
      </c>
      <c r="J430">
        <v>20</v>
      </c>
      <c r="K430">
        <v>4608.22</v>
      </c>
    </row>
    <row r="431" spans="1:11" x14ac:dyDescent="0.25">
      <c r="A431" t="s">
        <v>747</v>
      </c>
      <c r="B431" t="s">
        <v>1125</v>
      </c>
      <c r="C431" t="s">
        <v>402</v>
      </c>
      <c r="D431" t="s">
        <v>76</v>
      </c>
      <c r="E431" t="s">
        <v>889</v>
      </c>
      <c r="F431" t="s">
        <v>79</v>
      </c>
      <c r="G431" t="s">
        <v>22</v>
      </c>
      <c r="H431">
        <v>19</v>
      </c>
      <c r="I431" t="s">
        <v>1288</v>
      </c>
      <c r="J431" t="s">
        <v>951</v>
      </c>
      <c r="K431">
        <v>630.61</v>
      </c>
    </row>
    <row r="432" spans="1:11" x14ac:dyDescent="0.25">
      <c r="A432" t="s">
        <v>748</v>
      </c>
      <c r="B432" t="s">
        <v>1289</v>
      </c>
      <c r="C432" t="s">
        <v>664</v>
      </c>
      <c r="D432" t="s">
        <v>25</v>
      </c>
      <c r="E432" t="s">
        <v>26</v>
      </c>
      <c r="F432" t="s">
        <v>42</v>
      </c>
      <c r="G432" t="s">
        <v>43</v>
      </c>
      <c r="H432">
        <v>15</v>
      </c>
      <c r="I432">
        <v>360.93</v>
      </c>
      <c r="J432">
        <v>15</v>
      </c>
      <c r="K432">
        <v>4601.8599999999997</v>
      </c>
    </row>
    <row r="433" spans="1:11" x14ac:dyDescent="0.25">
      <c r="A433" t="s">
        <v>590</v>
      </c>
      <c r="B433" t="s">
        <v>1290</v>
      </c>
      <c r="D433" t="s">
        <v>25</v>
      </c>
      <c r="E433" t="s">
        <v>895</v>
      </c>
      <c r="F433" t="s">
        <v>1001</v>
      </c>
      <c r="G433" t="s">
        <v>22</v>
      </c>
      <c r="H433">
        <v>6</v>
      </c>
      <c r="I433">
        <v>34.130000000000003</v>
      </c>
      <c r="J433">
        <v>0</v>
      </c>
      <c r="K433">
        <v>204.78</v>
      </c>
    </row>
    <row r="434" spans="1:11" x14ac:dyDescent="0.25">
      <c r="A434" t="s">
        <v>749</v>
      </c>
      <c r="B434" t="s">
        <v>973</v>
      </c>
      <c r="C434" t="s">
        <v>542</v>
      </c>
      <c r="D434" t="s">
        <v>76</v>
      </c>
      <c r="E434" t="s">
        <v>940</v>
      </c>
      <c r="F434" t="s">
        <v>42</v>
      </c>
      <c r="G434" t="s">
        <v>43</v>
      </c>
      <c r="H434">
        <v>41</v>
      </c>
      <c r="I434">
        <v>357.56</v>
      </c>
      <c r="J434" t="s">
        <v>987</v>
      </c>
      <c r="K434">
        <v>11727.97</v>
      </c>
    </row>
    <row r="435" spans="1:11" x14ac:dyDescent="0.25">
      <c r="A435" t="s">
        <v>750</v>
      </c>
      <c r="B435" t="s">
        <v>1291</v>
      </c>
      <c r="D435" t="s">
        <v>31</v>
      </c>
      <c r="E435" t="s">
        <v>940</v>
      </c>
      <c r="F435" t="s">
        <v>54</v>
      </c>
      <c r="G435" t="s">
        <v>55</v>
      </c>
      <c r="H435">
        <v>29</v>
      </c>
      <c r="I435">
        <v>410.48</v>
      </c>
      <c r="J435">
        <v>0</v>
      </c>
      <c r="K435">
        <v>11903.92</v>
      </c>
    </row>
    <row r="436" spans="1:11" x14ac:dyDescent="0.25">
      <c r="A436" t="s">
        <v>751</v>
      </c>
      <c r="B436" t="s">
        <v>1292</v>
      </c>
      <c r="C436" t="s">
        <v>182</v>
      </c>
      <c r="D436" t="s">
        <v>25</v>
      </c>
      <c r="E436" t="s">
        <v>925</v>
      </c>
      <c r="F436" t="s">
        <v>898</v>
      </c>
      <c r="G436" t="s">
        <v>22</v>
      </c>
      <c r="H436">
        <v>2</v>
      </c>
      <c r="I436">
        <v>41.87</v>
      </c>
      <c r="J436">
        <v>15</v>
      </c>
      <c r="K436">
        <v>71.180000000000007</v>
      </c>
    </row>
    <row r="437" spans="1:11" x14ac:dyDescent="0.25">
      <c r="B437" t="s">
        <v>1018</v>
      </c>
      <c r="C437" t="s">
        <v>369</v>
      </c>
      <c r="D437" t="s">
        <v>76</v>
      </c>
      <c r="E437" t="s">
        <v>925</v>
      </c>
      <c r="F437" t="s">
        <v>931</v>
      </c>
      <c r="G437" t="s">
        <v>43</v>
      </c>
      <c r="H437">
        <v>21</v>
      </c>
      <c r="I437">
        <v>1135.8599999999999</v>
      </c>
      <c r="J437">
        <v>5</v>
      </c>
      <c r="K437">
        <v>22660.41</v>
      </c>
    </row>
    <row r="438" spans="1:11" x14ac:dyDescent="0.25">
      <c r="A438" t="s">
        <v>752</v>
      </c>
      <c r="B438" t="s">
        <v>1283</v>
      </c>
      <c r="C438" t="s">
        <v>635</v>
      </c>
      <c r="D438" t="s">
        <v>35</v>
      </c>
      <c r="E438" t="s">
        <v>892</v>
      </c>
      <c r="F438" t="s">
        <v>898</v>
      </c>
      <c r="G438" t="s">
        <v>22</v>
      </c>
      <c r="H438">
        <v>29</v>
      </c>
      <c r="I438">
        <v>47.85</v>
      </c>
      <c r="J438" t="s">
        <v>1025</v>
      </c>
      <c r="K438">
        <v>1248.8900000000001</v>
      </c>
    </row>
    <row r="439" spans="1:11" x14ac:dyDescent="0.25">
      <c r="A439" t="s">
        <v>753</v>
      </c>
      <c r="B439" t="s">
        <v>1124</v>
      </c>
      <c r="C439" t="s">
        <v>455</v>
      </c>
      <c r="D439" t="s">
        <v>76</v>
      </c>
      <c r="E439" t="s">
        <v>915</v>
      </c>
      <c r="F439" t="s">
        <v>927</v>
      </c>
      <c r="G439" t="s">
        <v>22</v>
      </c>
      <c r="H439">
        <v>20</v>
      </c>
      <c r="I439" t="s">
        <v>1293</v>
      </c>
      <c r="J439">
        <v>0.15</v>
      </c>
      <c r="K439">
        <v>619.14</v>
      </c>
    </row>
    <row r="440" spans="1:11" x14ac:dyDescent="0.25">
      <c r="A440" t="s">
        <v>754</v>
      </c>
      <c r="B440" t="s">
        <v>1294</v>
      </c>
      <c r="C440" t="s">
        <v>755</v>
      </c>
      <c r="D440" t="s">
        <v>99</v>
      </c>
      <c r="E440" t="s">
        <v>905</v>
      </c>
      <c r="F440" t="s">
        <v>54</v>
      </c>
      <c r="G440" t="s">
        <v>55</v>
      </c>
      <c r="H440">
        <v>33</v>
      </c>
      <c r="I440">
        <v>447.72</v>
      </c>
      <c r="J440">
        <v>0</v>
      </c>
      <c r="K440">
        <v>14774.76</v>
      </c>
    </row>
    <row r="441" spans="1:11" x14ac:dyDescent="0.25">
      <c r="A441" t="s">
        <v>756</v>
      </c>
      <c r="B441" t="s">
        <v>1251</v>
      </c>
      <c r="C441" t="s">
        <v>690</v>
      </c>
      <c r="D441" t="s">
        <v>53</v>
      </c>
      <c r="E441" t="s">
        <v>986</v>
      </c>
      <c r="F441" t="s">
        <v>1001</v>
      </c>
      <c r="G441" t="s">
        <v>22</v>
      </c>
      <c r="H441">
        <v>20</v>
      </c>
      <c r="I441">
        <v>35.729999999999997</v>
      </c>
      <c r="J441">
        <v>0</v>
      </c>
      <c r="K441">
        <v>714.6</v>
      </c>
    </row>
    <row r="442" spans="1:11" x14ac:dyDescent="0.25">
      <c r="A442" t="s">
        <v>757</v>
      </c>
      <c r="B442" t="s">
        <v>1235</v>
      </c>
      <c r="C442" t="s">
        <v>758</v>
      </c>
      <c r="D442" t="s">
        <v>31</v>
      </c>
      <c r="E442" t="s">
        <v>60</v>
      </c>
      <c r="F442" t="s">
        <v>983</v>
      </c>
      <c r="G442" t="s">
        <v>22</v>
      </c>
      <c r="H442">
        <v>44</v>
      </c>
      <c r="I442">
        <v>80.41</v>
      </c>
      <c r="J442">
        <v>0</v>
      </c>
      <c r="K442">
        <v>3538.04</v>
      </c>
    </row>
    <row r="443" spans="1:11" x14ac:dyDescent="0.25">
      <c r="A443" t="s">
        <v>759</v>
      </c>
      <c r="B443" t="s">
        <v>1295</v>
      </c>
      <c r="C443" t="s">
        <v>344</v>
      </c>
      <c r="D443" t="s">
        <v>39</v>
      </c>
      <c r="E443" t="s">
        <v>944</v>
      </c>
      <c r="F443" t="s">
        <v>82</v>
      </c>
      <c r="G443" t="s">
        <v>43</v>
      </c>
      <c r="H443">
        <v>43</v>
      </c>
      <c r="I443">
        <v>1233.1099999999999</v>
      </c>
      <c r="J443">
        <v>10</v>
      </c>
      <c r="K443">
        <v>47721.36</v>
      </c>
    </row>
    <row r="444" spans="1:11" x14ac:dyDescent="0.25">
      <c r="A444" t="s">
        <v>760</v>
      </c>
      <c r="B444" t="s">
        <v>1296</v>
      </c>
      <c r="C444" t="s">
        <v>761</v>
      </c>
      <c r="D444" t="s">
        <v>76</v>
      </c>
      <c r="E444" t="s">
        <v>940</v>
      </c>
      <c r="F444" t="s">
        <v>21</v>
      </c>
      <c r="G444" t="s">
        <v>22</v>
      </c>
      <c r="H444">
        <v>42</v>
      </c>
      <c r="I444">
        <v>82.31</v>
      </c>
      <c r="J444">
        <v>0</v>
      </c>
      <c r="K444">
        <v>3457.02</v>
      </c>
    </row>
    <row r="445" spans="1:11" x14ac:dyDescent="0.25">
      <c r="A445" t="s">
        <v>762</v>
      </c>
      <c r="B445" t="s">
        <v>1297</v>
      </c>
      <c r="C445" t="s">
        <v>235</v>
      </c>
      <c r="D445" t="s">
        <v>67</v>
      </c>
      <c r="E445" t="s">
        <v>26</v>
      </c>
      <c r="F445" t="s">
        <v>939</v>
      </c>
      <c r="G445" t="s">
        <v>43</v>
      </c>
      <c r="H445">
        <v>5</v>
      </c>
      <c r="I445">
        <v>1175.73</v>
      </c>
      <c r="J445">
        <v>20</v>
      </c>
      <c r="K445">
        <v>4702.92</v>
      </c>
    </row>
    <row r="446" spans="1:11" x14ac:dyDescent="0.25">
      <c r="A446" t="s">
        <v>763</v>
      </c>
      <c r="B446" t="s">
        <v>1298</v>
      </c>
      <c r="C446" t="s">
        <v>764</v>
      </c>
      <c r="D446" t="s">
        <v>76</v>
      </c>
      <c r="E446" t="s">
        <v>967</v>
      </c>
      <c r="F446" t="s">
        <v>896</v>
      </c>
      <c r="G446" t="s">
        <v>28</v>
      </c>
      <c r="H446">
        <v>29</v>
      </c>
      <c r="I446">
        <v>124.93</v>
      </c>
      <c r="J446">
        <v>0</v>
      </c>
      <c r="K446">
        <v>3622.97</v>
      </c>
    </row>
    <row r="447" spans="1:11" x14ac:dyDescent="0.25">
      <c r="A447" t="s">
        <v>765</v>
      </c>
      <c r="B447" t="s">
        <v>1299</v>
      </c>
      <c r="C447" t="s">
        <v>178</v>
      </c>
      <c r="D447" t="s">
        <v>31</v>
      </c>
      <c r="E447" t="s">
        <v>956</v>
      </c>
      <c r="F447" t="s">
        <v>15</v>
      </c>
      <c r="G447" t="s">
        <v>16</v>
      </c>
      <c r="H447">
        <v>42</v>
      </c>
      <c r="I447">
        <v>96.35</v>
      </c>
      <c r="J447">
        <v>5</v>
      </c>
      <c r="K447">
        <v>3844.36</v>
      </c>
    </row>
    <row r="448" spans="1:11" x14ac:dyDescent="0.25">
      <c r="A448" t="s">
        <v>766</v>
      </c>
      <c r="B448" t="s">
        <v>1300</v>
      </c>
      <c r="C448" t="s">
        <v>149</v>
      </c>
      <c r="D448" t="s">
        <v>50</v>
      </c>
      <c r="E448" t="s">
        <v>60</v>
      </c>
      <c r="F448" t="s">
        <v>934</v>
      </c>
      <c r="G448" t="s">
        <v>22</v>
      </c>
      <c r="H448">
        <v>45</v>
      </c>
      <c r="I448">
        <v>35.049999999999997</v>
      </c>
      <c r="J448">
        <v>5</v>
      </c>
      <c r="K448">
        <v>1498.39</v>
      </c>
    </row>
    <row r="449" spans="1:11" x14ac:dyDescent="0.25">
      <c r="A449" t="s">
        <v>767</v>
      </c>
      <c r="B449" t="s">
        <v>1301</v>
      </c>
      <c r="C449" t="s">
        <v>594</v>
      </c>
      <c r="D449" t="s">
        <v>76</v>
      </c>
      <c r="E449" t="s">
        <v>892</v>
      </c>
      <c r="F449" t="s">
        <v>54</v>
      </c>
      <c r="G449" t="s">
        <v>55</v>
      </c>
      <c r="H449">
        <v>2</v>
      </c>
      <c r="I449">
        <v>482.4</v>
      </c>
      <c r="J449" t="s">
        <v>918</v>
      </c>
      <c r="K449">
        <v>820.08</v>
      </c>
    </row>
    <row r="450" spans="1:11" x14ac:dyDescent="0.25">
      <c r="A450" t="s">
        <v>768</v>
      </c>
      <c r="B450" t="s">
        <v>1302</v>
      </c>
      <c r="C450" t="s">
        <v>139</v>
      </c>
      <c r="D450" t="s">
        <v>25</v>
      </c>
      <c r="E450" t="s">
        <v>905</v>
      </c>
      <c r="F450" t="s">
        <v>82</v>
      </c>
      <c r="G450" t="s">
        <v>43</v>
      </c>
      <c r="H450">
        <v>20</v>
      </c>
      <c r="I450">
        <v>1231.72</v>
      </c>
      <c r="J450">
        <v>0.05</v>
      </c>
      <c r="K450">
        <v>23402.68</v>
      </c>
    </row>
    <row r="451" spans="1:11" x14ac:dyDescent="0.25">
      <c r="A451" t="s">
        <v>769</v>
      </c>
      <c r="B451" t="s">
        <v>1303</v>
      </c>
      <c r="C451" t="s">
        <v>770</v>
      </c>
      <c r="D451" t="s">
        <v>76</v>
      </c>
      <c r="E451" t="s">
        <v>895</v>
      </c>
      <c r="F451" t="s">
        <v>15</v>
      </c>
      <c r="G451" t="s">
        <v>16</v>
      </c>
      <c r="H451">
        <v>19</v>
      </c>
      <c r="I451" t="s">
        <v>1304</v>
      </c>
      <c r="J451">
        <v>10</v>
      </c>
      <c r="K451">
        <v>1820.98</v>
      </c>
    </row>
    <row r="452" spans="1:11" x14ac:dyDescent="0.25">
      <c r="A452" t="s">
        <v>771</v>
      </c>
      <c r="B452" t="s">
        <v>1305</v>
      </c>
      <c r="C452" t="s">
        <v>772</v>
      </c>
      <c r="D452" t="s">
        <v>39</v>
      </c>
      <c r="E452" t="s">
        <v>925</v>
      </c>
      <c r="F452" t="s">
        <v>42</v>
      </c>
      <c r="G452" t="s">
        <v>43</v>
      </c>
      <c r="H452">
        <v>23</v>
      </c>
      <c r="I452">
        <v>348.94</v>
      </c>
      <c r="J452">
        <v>0</v>
      </c>
      <c r="K452">
        <v>8025.62</v>
      </c>
    </row>
    <row r="453" spans="1:11" x14ac:dyDescent="0.25">
      <c r="A453" t="s">
        <v>773</v>
      </c>
      <c r="B453" t="s">
        <v>1306</v>
      </c>
      <c r="C453" t="s">
        <v>774</v>
      </c>
      <c r="D453" t="s">
        <v>53</v>
      </c>
      <c r="E453" t="s">
        <v>60</v>
      </c>
      <c r="F453" t="s">
        <v>54</v>
      </c>
      <c r="G453" t="s">
        <v>55</v>
      </c>
      <c r="H453">
        <v>45</v>
      </c>
      <c r="I453">
        <v>429.87</v>
      </c>
      <c r="J453" t="s">
        <v>987</v>
      </c>
      <c r="K453">
        <v>15475.32</v>
      </c>
    </row>
    <row r="454" spans="1:11" x14ac:dyDescent="0.25">
      <c r="A454" t="s">
        <v>775</v>
      </c>
      <c r="B454" t="s">
        <v>1307</v>
      </c>
      <c r="C454" t="s">
        <v>776</v>
      </c>
      <c r="D454" t="s">
        <v>35</v>
      </c>
      <c r="E454" t="s">
        <v>26</v>
      </c>
      <c r="F454" t="s">
        <v>945</v>
      </c>
      <c r="G454" t="s">
        <v>55</v>
      </c>
      <c r="H454">
        <v>31</v>
      </c>
      <c r="I454">
        <v>467.69</v>
      </c>
      <c r="J454">
        <v>20</v>
      </c>
      <c r="K454">
        <v>11598.71</v>
      </c>
    </row>
    <row r="455" spans="1:11" x14ac:dyDescent="0.25">
      <c r="A455" t="s">
        <v>777</v>
      </c>
      <c r="B455" t="s">
        <v>1308</v>
      </c>
      <c r="C455" t="s">
        <v>59</v>
      </c>
      <c r="D455" t="s">
        <v>39</v>
      </c>
      <c r="E455" t="s">
        <v>60</v>
      </c>
      <c r="F455" t="s">
        <v>993</v>
      </c>
      <c r="G455" t="s">
        <v>43</v>
      </c>
      <c r="H455">
        <v>41</v>
      </c>
      <c r="I455">
        <v>333.93</v>
      </c>
      <c r="J455" t="s">
        <v>899</v>
      </c>
      <c r="K455">
        <v>13006.57</v>
      </c>
    </row>
    <row r="456" spans="1:11" x14ac:dyDescent="0.25">
      <c r="A456" t="s">
        <v>778</v>
      </c>
      <c r="B456" t="s">
        <v>1309</v>
      </c>
      <c r="C456" t="s">
        <v>648</v>
      </c>
      <c r="D456" t="s">
        <v>53</v>
      </c>
      <c r="E456" t="s">
        <v>967</v>
      </c>
      <c r="F456" t="s">
        <v>54</v>
      </c>
      <c r="G456" t="s">
        <v>55</v>
      </c>
      <c r="H456">
        <v>6</v>
      </c>
      <c r="I456">
        <v>418.21</v>
      </c>
      <c r="J456">
        <v>20</v>
      </c>
      <c r="K456">
        <v>2007.41</v>
      </c>
    </row>
    <row r="457" spans="1:11" x14ac:dyDescent="0.25">
      <c r="A457" t="s">
        <v>779</v>
      </c>
      <c r="B457" t="s">
        <v>1310</v>
      </c>
      <c r="C457" t="s">
        <v>780</v>
      </c>
      <c r="D457" t="s">
        <v>31</v>
      </c>
      <c r="E457" t="s">
        <v>905</v>
      </c>
      <c r="F457" t="s">
        <v>906</v>
      </c>
      <c r="G457" t="s">
        <v>43</v>
      </c>
      <c r="H457">
        <v>44</v>
      </c>
      <c r="I457">
        <v>341.34</v>
      </c>
      <c r="J457">
        <v>20</v>
      </c>
      <c r="K457">
        <v>12015.17</v>
      </c>
    </row>
    <row r="458" spans="1:11" x14ac:dyDescent="0.25">
      <c r="A458" t="s">
        <v>781</v>
      </c>
      <c r="B458" t="s">
        <v>954</v>
      </c>
      <c r="C458" t="s">
        <v>782</v>
      </c>
      <c r="D458" t="s">
        <v>67</v>
      </c>
      <c r="E458" t="s">
        <v>942</v>
      </c>
      <c r="F458" t="s">
        <v>947</v>
      </c>
      <c r="G458" t="s">
        <v>22</v>
      </c>
      <c r="H458">
        <v>25</v>
      </c>
      <c r="I458">
        <v>49.76</v>
      </c>
      <c r="J458">
        <v>0</v>
      </c>
      <c r="K458">
        <v>1244</v>
      </c>
    </row>
    <row r="459" spans="1:11" x14ac:dyDescent="0.25">
      <c r="A459" t="s">
        <v>783</v>
      </c>
      <c r="B459" t="s">
        <v>1311</v>
      </c>
      <c r="C459" t="s">
        <v>784</v>
      </c>
      <c r="D459" t="s">
        <v>50</v>
      </c>
      <c r="E459" t="s">
        <v>36</v>
      </c>
      <c r="F459" t="s">
        <v>983</v>
      </c>
      <c r="G459" t="s">
        <v>22</v>
      </c>
      <c r="H459">
        <v>27</v>
      </c>
      <c r="I459">
        <v>91.55</v>
      </c>
      <c r="J459">
        <v>0</v>
      </c>
      <c r="K459">
        <v>2471.85</v>
      </c>
    </row>
    <row r="460" spans="1:11" x14ac:dyDescent="0.25">
      <c r="A460" t="s">
        <v>785</v>
      </c>
      <c r="B460" t="s">
        <v>1312</v>
      </c>
      <c r="C460" t="s">
        <v>786</v>
      </c>
      <c r="D460" t="s">
        <v>35</v>
      </c>
      <c r="E460" t="s">
        <v>967</v>
      </c>
      <c r="F460" t="s">
        <v>927</v>
      </c>
      <c r="G460" t="s">
        <v>22</v>
      </c>
      <c r="H460">
        <v>38</v>
      </c>
      <c r="I460">
        <v>39.700000000000003</v>
      </c>
      <c r="J460">
        <v>15</v>
      </c>
      <c r="K460">
        <v>1282.31</v>
      </c>
    </row>
    <row r="461" spans="1:11" x14ac:dyDescent="0.25">
      <c r="A461" t="s">
        <v>787</v>
      </c>
      <c r="B461" t="s">
        <v>1313</v>
      </c>
      <c r="C461" t="s">
        <v>788</v>
      </c>
      <c r="D461" t="s">
        <v>76</v>
      </c>
      <c r="E461" t="s">
        <v>915</v>
      </c>
      <c r="F461" t="s">
        <v>890</v>
      </c>
      <c r="G461" t="s">
        <v>16</v>
      </c>
      <c r="H461">
        <v>50</v>
      </c>
      <c r="I461">
        <v>107.76</v>
      </c>
      <c r="J461">
        <v>0</v>
      </c>
      <c r="K461">
        <v>5388</v>
      </c>
    </row>
    <row r="462" spans="1:11" x14ac:dyDescent="0.25">
      <c r="A462" t="s">
        <v>789</v>
      </c>
      <c r="B462" t="s">
        <v>1314</v>
      </c>
      <c r="C462" t="s">
        <v>790</v>
      </c>
      <c r="D462" t="s">
        <v>19</v>
      </c>
      <c r="E462" t="s">
        <v>36</v>
      </c>
      <c r="F462" t="s">
        <v>934</v>
      </c>
      <c r="H462">
        <v>8</v>
      </c>
      <c r="I462">
        <v>36.380000000000003</v>
      </c>
      <c r="J462">
        <v>0</v>
      </c>
      <c r="K462">
        <v>291.04000000000002</v>
      </c>
    </row>
    <row r="463" spans="1:11" x14ac:dyDescent="0.25">
      <c r="A463" t="s">
        <v>791</v>
      </c>
      <c r="B463" t="s">
        <v>1315</v>
      </c>
      <c r="C463" t="s">
        <v>263</v>
      </c>
      <c r="D463" t="s">
        <v>39</v>
      </c>
      <c r="E463" t="s">
        <v>60</v>
      </c>
      <c r="F463" t="s">
        <v>903</v>
      </c>
      <c r="G463" t="s">
        <v>28</v>
      </c>
      <c r="H463">
        <v>6</v>
      </c>
      <c r="I463" t="s">
        <v>1316</v>
      </c>
      <c r="J463">
        <v>15</v>
      </c>
      <c r="K463">
        <v>977.1</v>
      </c>
    </row>
    <row r="464" spans="1:11" x14ac:dyDescent="0.25">
      <c r="A464" t="s">
        <v>792</v>
      </c>
      <c r="B464" t="s">
        <v>1089</v>
      </c>
      <c r="C464" t="s">
        <v>363</v>
      </c>
      <c r="D464" t="s">
        <v>31</v>
      </c>
      <c r="E464" t="s">
        <v>892</v>
      </c>
      <c r="F464" t="s">
        <v>906</v>
      </c>
      <c r="G464" t="s">
        <v>43</v>
      </c>
      <c r="H464">
        <v>44</v>
      </c>
      <c r="I464">
        <v>340.34</v>
      </c>
      <c r="J464">
        <v>5</v>
      </c>
      <c r="K464">
        <v>14599</v>
      </c>
    </row>
    <row r="465" spans="1:11" x14ac:dyDescent="0.25">
      <c r="A465" t="s">
        <v>793</v>
      </c>
      <c r="B465" t="s">
        <v>1317</v>
      </c>
      <c r="C465" t="s">
        <v>794</v>
      </c>
      <c r="D465" t="s">
        <v>31</v>
      </c>
      <c r="E465" t="s">
        <v>26</v>
      </c>
      <c r="F465" t="s">
        <v>906</v>
      </c>
      <c r="G465" t="s">
        <v>43</v>
      </c>
      <c r="H465">
        <v>22</v>
      </c>
      <c r="I465">
        <v>353.73</v>
      </c>
      <c r="J465">
        <v>0</v>
      </c>
      <c r="K465">
        <v>7782.06</v>
      </c>
    </row>
    <row r="466" spans="1:11" x14ac:dyDescent="0.25">
      <c r="A466" t="s">
        <v>795</v>
      </c>
      <c r="B466" t="s">
        <v>1318</v>
      </c>
      <c r="C466" t="s">
        <v>796</v>
      </c>
      <c r="D466" t="s">
        <v>19</v>
      </c>
      <c r="E466" t="s">
        <v>895</v>
      </c>
      <c r="F466" t="s">
        <v>929</v>
      </c>
      <c r="H466">
        <v>23</v>
      </c>
      <c r="I466">
        <v>13791.5</v>
      </c>
      <c r="J466">
        <v>20</v>
      </c>
      <c r="K466">
        <v>25376.36</v>
      </c>
    </row>
    <row r="467" spans="1:11" x14ac:dyDescent="0.25">
      <c r="A467" t="s">
        <v>797</v>
      </c>
      <c r="B467" t="s">
        <v>1287</v>
      </c>
      <c r="C467" t="s">
        <v>121</v>
      </c>
      <c r="D467" t="s">
        <v>31</v>
      </c>
      <c r="E467" t="s">
        <v>26</v>
      </c>
      <c r="F467" t="s">
        <v>82</v>
      </c>
      <c r="G467" t="s">
        <v>43</v>
      </c>
      <c r="H467">
        <v>50</v>
      </c>
      <c r="I467">
        <v>1097.6199999999999</v>
      </c>
      <c r="J467">
        <v>0</v>
      </c>
      <c r="K467">
        <v>54881</v>
      </c>
    </row>
    <row r="468" spans="1:11" x14ac:dyDescent="0.25">
      <c r="A468" t="s">
        <v>798</v>
      </c>
      <c r="B468" t="s">
        <v>1319</v>
      </c>
      <c r="C468" t="s">
        <v>799</v>
      </c>
      <c r="D468" t="s">
        <v>39</v>
      </c>
      <c r="E468" t="s">
        <v>942</v>
      </c>
      <c r="F468" t="s">
        <v>82</v>
      </c>
      <c r="G468" t="s">
        <v>43</v>
      </c>
      <c r="H468">
        <v>5</v>
      </c>
      <c r="I468">
        <v>1107.28</v>
      </c>
      <c r="J468">
        <v>5</v>
      </c>
      <c r="K468">
        <v>5259.58</v>
      </c>
    </row>
    <row r="469" spans="1:11" x14ac:dyDescent="0.25">
      <c r="A469" t="s">
        <v>800</v>
      </c>
      <c r="B469" t="s">
        <v>1320</v>
      </c>
      <c r="C469" t="s">
        <v>386</v>
      </c>
      <c r="D469" t="s">
        <v>50</v>
      </c>
      <c r="E469" t="s">
        <v>956</v>
      </c>
      <c r="F469" t="s">
        <v>54</v>
      </c>
      <c r="G469" t="s">
        <v>55</v>
      </c>
      <c r="H469">
        <v>40</v>
      </c>
      <c r="I469">
        <v>429.89</v>
      </c>
      <c r="J469">
        <v>0</v>
      </c>
      <c r="K469">
        <v>17195.599999999999</v>
      </c>
    </row>
    <row r="470" spans="1:11" x14ac:dyDescent="0.25">
      <c r="A470" t="s">
        <v>801</v>
      </c>
      <c r="B470" t="s">
        <v>1321</v>
      </c>
      <c r="D470" t="s">
        <v>19</v>
      </c>
      <c r="E470" t="s">
        <v>940</v>
      </c>
      <c r="F470" t="s">
        <v>898</v>
      </c>
      <c r="G470" t="s">
        <v>22</v>
      </c>
      <c r="H470">
        <v>16</v>
      </c>
      <c r="I470">
        <v>47.77</v>
      </c>
      <c r="J470">
        <v>0</v>
      </c>
      <c r="K470">
        <v>764.32</v>
      </c>
    </row>
    <row r="471" spans="1:11" x14ac:dyDescent="0.25">
      <c r="A471" t="s">
        <v>802</v>
      </c>
      <c r="B471" t="s">
        <v>1322</v>
      </c>
      <c r="C471" t="s">
        <v>411</v>
      </c>
      <c r="D471" t="s">
        <v>19</v>
      </c>
      <c r="E471" t="s">
        <v>942</v>
      </c>
      <c r="F471" t="s">
        <v>903</v>
      </c>
      <c r="G471" t="s">
        <v>28</v>
      </c>
      <c r="H471">
        <v>32</v>
      </c>
      <c r="I471">
        <v>117.2</v>
      </c>
      <c r="J471">
        <v>0</v>
      </c>
      <c r="K471">
        <v>3750.4</v>
      </c>
    </row>
    <row r="472" spans="1:11" x14ac:dyDescent="0.25">
      <c r="A472" t="s">
        <v>803</v>
      </c>
      <c r="B472" t="s">
        <v>1323</v>
      </c>
      <c r="C472" t="s">
        <v>804</v>
      </c>
      <c r="D472" t="s">
        <v>76</v>
      </c>
      <c r="E472" t="s">
        <v>986</v>
      </c>
      <c r="F472" t="s">
        <v>82</v>
      </c>
      <c r="G472" t="s">
        <v>43</v>
      </c>
      <c r="H472">
        <v>19</v>
      </c>
      <c r="I472">
        <v>1125.43</v>
      </c>
      <c r="J472">
        <v>0</v>
      </c>
      <c r="K472">
        <v>21383.17</v>
      </c>
    </row>
    <row r="473" spans="1:11" x14ac:dyDescent="0.25">
      <c r="A473" t="s">
        <v>805</v>
      </c>
      <c r="B473" t="s">
        <v>1324</v>
      </c>
      <c r="C473" t="s">
        <v>806</v>
      </c>
      <c r="D473" t="s">
        <v>35</v>
      </c>
      <c r="E473" t="s">
        <v>986</v>
      </c>
      <c r="F473" t="s">
        <v>79</v>
      </c>
      <c r="G473" t="s">
        <v>22</v>
      </c>
      <c r="H473">
        <v>34</v>
      </c>
      <c r="I473">
        <v>33.79</v>
      </c>
      <c r="J473">
        <v>0</v>
      </c>
      <c r="K473">
        <v>1148.8599999999999</v>
      </c>
    </row>
    <row r="474" spans="1:11" x14ac:dyDescent="0.25">
      <c r="A474" t="s">
        <v>807</v>
      </c>
      <c r="B474" t="s">
        <v>1325</v>
      </c>
      <c r="C474" t="s">
        <v>808</v>
      </c>
      <c r="D474" t="s">
        <v>25</v>
      </c>
      <c r="E474" t="s">
        <v>1072</v>
      </c>
      <c r="F474" t="s">
        <v>82</v>
      </c>
      <c r="G474" t="s">
        <v>43</v>
      </c>
      <c r="H474">
        <v>17</v>
      </c>
      <c r="I474">
        <v>1360.51</v>
      </c>
      <c r="J474">
        <v>0</v>
      </c>
      <c r="K474">
        <v>23128.67</v>
      </c>
    </row>
    <row r="475" spans="1:11" x14ac:dyDescent="0.25">
      <c r="A475" t="s">
        <v>809</v>
      </c>
      <c r="B475" t="s">
        <v>1326</v>
      </c>
      <c r="C475" t="s">
        <v>810</v>
      </c>
      <c r="D475" t="s">
        <v>25</v>
      </c>
      <c r="E475" t="s">
        <v>913</v>
      </c>
      <c r="F475" t="s">
        <v>969</v>
      </c>
      <c r="G475" t="s">
        <v>16</v>
      </c>
      <c r="H475">
        <v>37</v>
      </c>
      <c r="I475">
        <v>108.78</v>
      </c>
      <c r="J475">
        <v>0</v>
      </c>
      <c r="K475">
        <v>4024.86</v>
      </c>
    </row>
    <row r="476" spans="1:11" x14ac:dyDescent="0.25">
      <c r="A476" t="s">
        <v>811</v>
      </c>
      <c r="B476" t="s">
        <v>1327</v>
      </c>
      <c r="C476" t="s">
        <v>812</v>
      </c>
      <c r="D476" t="s">
        <v>76</v>
      </c>
      <c r="E476" t="s">
        <v>901</v>
      </c>
      <c r="F476" t="s">
        <v>32</v>
      </c>
      <c r="G476" t="s">
        <v>22</v>
      </c>
      <c r="H476">
        <v>25</v>
      </c>
      <c r="I476">
        <v>45.1</v>
      </c>
      <c r="J476" t="s">
        <v>899</v>
      </c>
      <c r="K476">
        <v>1071.1199999999999</v>
      </c>
    </row>
    <row r="477" spans="1:11" x14ac:dyDescent="0.25">
      <c r="A477" t="s">
        <v>813</v>
      </c>
      <c r="B477" t="s">
        <v>1249</v>
      </c>
      <c r="C477" t="s">
        <v>814</v>
      </c>
      <c r="D477" t="s">
        <v>31</v>
      </c>
      <c r="E477" t="s">
        <v>20</v>
      </c>
      <c r="F477" t="s">
        <v>962</v>
      </c>
      <c r="G477" t="s">
        <v>43</v>
      </c>
      <c r="H477">
        <v>9</v>
      </c>
      <c r="I477">
        <v>331.14</v>
      </c>
      <c r="J477">
        <v>10</v>
      </c>
      <c r="K477">
        <v>2682.23</v>
      </c>
    </row>
    <row r="478" spans="1:11" x14ac:dyDescent="0.25">
      <c r="A478" t="s">
        <v>815</v>
      </c>
      <c r="B478" t="s">
        <v>976</v>
      </c>
      <c r="C478" t="s">
        <v>666</v>
      </c>
      <c r="D478" t="s">
        <v>53</v>
      </c>
      <c r="E478" t="s">
        <v>892</v>
      </c>
      <c r="F478" t="s">
        <v>21</v>
      </c>
      <c r="G478" t="s">
        <v>22</v>
      </c>
      <c r="H478">
        <v>43</v>
      </c>
      <c r="I478">
        <v>73.790000000000006</v>
      </c>
      <c r="J478">
        <v>0.2</v>
      </c>
      <c r="K478">
        <v>2538.38</v>
      </c>
    </row>
    <row r="479" spans="1:11" x14ac:dyDescent="0.25">
      <c r="A479" t="s">
        <v>816</v>
      </c>
      <c r="B479" t="s">
        <v>1027</v>
      </c>
      <c r="C479" t="s">
        <v>311</v>
      </c>
      <c r="D479" t="s">
        <v>67</v>
      </c>
      <c r="E479" t="s">
        <v>974</v>
      </c>
      <c r="F479" t="s">
        <v>929</v>
      </c>
      <c r="G479" t="s">
        <v>43</v>
      </c>
      <c r="H479">
        <v>49</v>
      </c>
      <c r="I479">
        <v>1298.25</v>
      </c>
      <c r="J479">
        <v>20</v>
      </c>
      <c r="K479">
        <v>50891.4</v>
      </c>
    </row>
    <row r="480" spans="1:11" x14ac:dyDescent="0.25">
      <c r="A480" t="s">
        <v>817</v>
      </c>
      <c r="B480" t="s">
        <v>1328</v>
      </c>
      <c r="C480" t="s">
        <v>223</v>
      </c>
      <c r="D480" t="s">
        <v>25</v>
      </c>
      <c r="E480" t="s">
        <v>986</v>
      </c>
      <c r="F480" t="s">
        <v>1001</v>
      </c>
      <c r="G480" t="s">
        <v>22</v>
      </c>
      <c r="H480">
        <v>18</v>
      </c>
      <c r="I480">
        <v>39.5</v>
      </c>
      <c r="J480">
        <v>0.15</v>
      </c>
      <c r="K480">
        <v>604.35</v>
      </c>
    </row>
    <row r="481" spans="1:11" x14ac:dyDescent="0.25">
      <c r="A481" t="s">
        <v>818</v>
      </c>
      <c r="B481" t="s">
        <v>888</v>
      </c>
      <c r="C481" t="s">
        <v>271</v>
      </c>
      <c r="D481" t="s">
        <v>53</v>
      </c>
      <c r="E481" t="s">
        <v>901</v>
      </c>
      <c r="F481" t="s">
        <v>945</v>
      </c>
      <c r="G481" t="s">
        <v>55</v>
      </c>
      <c r="H481">
        <v>46</v>
      </c>
      <c r="I481">
        <v>414.21</v>
      </c>
      <c r="J481">
        <v>10</v>
      </c>
      <c r="K481">
        <v>17148.29</v>
      </c>
    </row>
    <row r="482" spans="1:11" x14ac:dyDescent="0.25">
      <c r="A482" t="s">
        <v>819</v>
      </c>
      <c r="B482" t="s">
        <v>1329</v>
      </c>
      <c r="C482" t="s">
        <v>261</v>
      </c>
      <c r="D482" t="s">
        <v>31</v>
      </c>
      <c r="E482" t="s">
        <v>36</v>
      </c>
      <c r="F482" t="s">
        <v>911</v>
      </c>
      <c r="G482" t="s">
        <v>55</v>
      </c>
      <c r="H482">
        <v>13</v>
      </c>
      <c r="I482">
        <v>514.73</v>
      </c>
      <c r="J482" t="s">
        <v>918</v>
      </c>
      <c r="K482">
        <v>5687.77</v>
      </c>
    </row>
    <row r="483" spans="1:11" x14ac:dyDescent="0.25">
      <c r="A483" t="s">
        <v>820</v>
      </c>
      <c r="B483" t="s">
        <v>1330</v>
      </c>
      <c r="C483" t="s">
        <v>821</v>
      </c>
      <c r="D483" t="s">
        <v>50</v>
      </c>
      <c r="E483" t="s">
        <v>913</v>
      </c>
      <c r="F483" t="s">
        <v>983</v>
      </c>
      <c r="G483" t="s">
        <v>22</v>
      </c>
      <c r="H483">
        <v>12</v>
      </c>
      <c r="I483">
        <v>74.36</v>
      </c>
      <c r="J483">
        <v>0</v>
      </c>
      <c r="K483">
        <v>892.32</v>
      </c>
    </row>
    <row r="484" spans="1:11" x14ac:dyDescent="0.25">
      <c r="A484" t="s">
        <v>822</v>
      </c>
      <c r="B484" t="s">
        <v>1331</v>
      </c>
      <c r="C484" t="s">
        <v>823</v>
      </c>
      <c r="D484" t="s">
        <v>53</v>
      </c>
      <c r="E484" t="s">
        <v>913</v>
      </c>
      <c r="F484" t="s">
        <v>969</v>
      </c>
      <c r="G484" t="s">
        <v>16</v>
      </c>
      <c r="H484">
        <v>24</v>
      </c>
      <c r="I484">
        <v>86.25</v>
      </c>
      <c r="J484">
        <v>0.2</v>
      </c>
      <c r="K484">
        <v>1567.76</v>
      </c>
    </row>
    <row r="485" spans="1:11" x14ac:dyDescent="0.25">
      <c r="A485" t="s">
        <v>824</v>
      </c>
      <c r="B485" t="s">
        <v>1332</v>
      </c>
      <c r="C485" t="s">
        <v>503</v>
      </c>
      <c r="D485" t="s">
        <v>99</v>
      </c>
      <c r="E485" t="s">
        <v>14</v>
      </c>
      <c r="F485" t="s">
        <v>898</v>
      </c>
      <c r="G485" t="s">
        <v>22</v>
      </c>
      <c r="H485">
        <v>7</v>
      </c>
      <c r="I485">
        <v>47.4</v>
      </c>
      <c r="J485">
        <v>0.15</v>
      </c>
      <c r="K485">
        <v>282.02999999999997</v>
      </c>
    </row>
    <row r="486" spans="1:11" x14ac:dyDescent="0.25">
      <c r="A486" t="s">
        <v>825</v>
      </c>
      <c r="B486" t="s">
        <v>1333</v>
      </c>
      <c r="C486" t="s">
        <v>352</v>
      </c>
      <c r="D486" t="s">
        <v>31</v>
      </c>
      <c r="E486" t="s">
        <v>1072</v>
      </c>
      <c r="F486" t="s">
        <v>54</v>
      </c>
      <c r="G486" t="s">
        <v>55</v>
      </c>
      <c r="H486">
        <v>20</v>
      </c>
      <c r="I486">
        <v>427.95</v>
      </c>
      <c r="J486">
        <v>20</v>
      </c>
      <c r="K486">
        <v>6847.2</v>
      </c>
    </row>
    <row r="487" spans="1:11" x14ac:dyDescent="0.25">
      <c r="A487" t="s">
        <v>826</v>
      </c>
      <c r="B487" t="s">
        <v>1334</v>
      </c>
      <c r="C487" t="s">
        <v>123</v>
      </c>
      <c r="D487" t="s">
        <v>76</v>
      </c>
      <c r="E487" t="s">
        <v>36</v>
      </c>
      <c r="F487" t="s">
        <v>929</v>
      </c>
      <c r="G487" t="s">
        <v>43</v>
      </c>
      <c r="H487">
        <v>34</v>
      </c>
      <c r="I487">
        <v>1152.78</v>
      </c>
      <c r="J487">
        <v>0</v>
      </c>
      <c r="K487">
        <v>39194.519999999997</v>
      </c>
    </row>
    <row r="488" spans="1:11" x14ac:dyDescent="0.25">
      <c r="A488" t="s">
        <v>827</v>
      </c>
      <c r="B488" t="s">
        <v>1141</v>
      </c>
      <c r="C488" t="s">
        <v>459</v>
      </c>
      <c r="D488" t="s">
        <v>25</v>
      </c>
      <c r="E488" t="s">
        <v>889</v>
      </c>
      <c r="F488" t="s">
        <v>898</v>
      </c>
      <c r="G488" t="s">
        <v>22</v>
      </c>
      <c r="H488">
        <v>36</v>
      </c>
      <c r="I488">
        <v>48.99</v>
      </c>
      <c r="J488">
        <v>15</v>
      </c>
      <c r="K488">
        <v>1499.09</v>
      </c>
    </row>
    <row r="489" spans="1:11" x14ac:dyDescent="0.25">
      <c r="A489" t="s">
        <v>828</v>
      </c>
      <c r="B489" t="s">
        <v>1075</v>
      </c>
      <c r="C489" t="s">
        <v>479</v>
      </c>
      <c r="D489" t="s">
        <v>19</v>
      </c>
      <c r="E489" t="s">
        <v>26</v>
      </c>
      <c r="F489" t="s">
        <v>962</v>
      </c>
      <c r="G489" t="s">
        <v>43</v>
      </c>
      <c r="H489">
        <v>16</v>
      </c>
      <c r="I489">
        <v>365.78</v>
      </c>
      <c r="J489">
        <v>0</v>
      </c>
      <c r="K489">
        <v>5852.48</v>
      </c>
    </row>
    <row r="490" spans="1:11" x14ac:dyDescent="0.25">
      <c r="A490" t="s">
        <v>829</v>
      </c>
      <c r="B490" t="s">
        <v>1335</v>
      </c>
      <c r="C490" t="s">
        <v>281</v>
      </c>
      <c r="D490" t="s">
        <v>53</v>
      </c>
      <c r="E490" t="s">
        <v>944</v>
      </c>
      <c r="F490" t="s">
        <v>893</v>
      </c>
      <c r="G490" t="s">
        <v>22</v>
      </c>
      <c r="H490">
        <v>11</v>
      </c>
      <c r="I490">
        <v>83.04</v>
      </c>
      <c r="J490">
        <v>0.05</v>
      </c>
      <c r="K490">
        <v>867.77</v>
      </c>
    </row>
    <row r="491" spans="1:11" x14ac:dyDescent="0.25">
      <c r="A491" t="s">
        <v>103</v>
      </c>
      <c r="B491" t="s">
        <v>1336</v>
      </c>
      <c r="C491" t="s">
        <v>104</v>
      </c>
      <c r="D491" t="s">
        <v>67</v>
      </c>
      <c r="E491" t="s">
        <v>905</v>
      </c>
      <c r="F491" t="s">
        <v>82</v>
      </c>
      <c r="G491" t="s">
        <v>43</v>
      </c>
      <c r="H491">
        <v>9</v>
      </c>
      <c r="I491">
        <v>1121.1099999999999</v>
      </c>
      <c r="J491">
        <v>0</v>
      </c>
      <c r="K491">
        <v>12985.82</v>
      </c>
    </row>
    <row r="492" spans="1:11" x14ac:dyDescent="0.25">
      <c r="A492" t="s">
        <v>830</v>
      </c>
      <c r="B492" t="s">
        <v>1337</v>
      </c>
      <c r="C492" t="s">
        <v>831</v>
      </c>
      <c r="D492" t="s">
        <v>39</v>
      </c>
      <c r="E492" t="s">
        <v>901</v>
      </c>
      <c r="F492" t="s">
        <v>962</v>
      </c>
      <c r="G492" t="s">
        <v>43</v>
      </c>
      <c r="H492">
        <v>31</v>
      </c>
      <c r="I492">
        <v>317.86</v>
      </c>
      <c r="J492">
        <v>0</v>
      </c>
      <c r="K492">
        <v>9853.66</v>
      </c>
    </row>
    <row r="493" spans="1:11" x14ac:dyDescent="0.25">
      <c r="A493" t="s">
        <v>832</v>
      </c>
      <c r="B493" t="s">
        <v>1338</v>
      </c>
      <c r="C493" t="s">
        <v>690</v>
      </c>
      <c r="D493" t="s">
        <v>99</v>
      </c>
      <c r="E493" t="s">
        <v>36</v>
      </c>
      <c r="F493" t="s">
        <v>898</v>
      </c>
      <c r="G493" t="s">
        <v>22</v>
      </c>
      <c r="H493">
        <v>6</v>
      </c>
      <c r="I493">
        <v>42.04</v>
      </c>
      <c r="J493">
        <v>20</v>
      </c>
      <c r="K493">
        <v>201.79</v>
      </c>
    </row>
    <row r="494" spans="1:11" x14ac:dyDescent="0.25">
      <c r="A494" t="s">
        <v>833</v>
      </c>
      <c r="B494" t="s">
        <v>912</v>
      </c>
      <c r="C494" t="s">
        <v>834</v>
      </c>
      <c r="D494" t="s">
        <v>31</v>
      </c>
      <c r="E494" t="s">
        <v>889</v>
      </c>
      <c r="F494" t="s">
        <v>906</v>
      </c>
      <c r="G494" t="s">
        <v>43</v>
      </c>
      <c r="H494">
        <v>9</v>
      </c>
      <c r="I494">
        <v>325.88</v>
      </c>
      <c r="J494">
        <v>5</v>
      </c>
      <c r="K494">
        <v>3966.43</v>
      </c>
    </row>
    <row r="495" spans="1:11" x14ac:dyDescent="0.25">
      <c r="A495" t="s">
        <v>835</v>
      </c>
      <c r="B495" t="s">
        <v>1283</v>
      </c>
      <c r="C495" t="s">
        <v>836</v>
      </c>
      <c r="D495" t="s">
        <v>35</v>
      </c>
      <c r="E495" t="s">
        <v>915</v>
      </c>
      <c r="F495" t="s">
        <v>993</v>
      </c>
      <c r="G495" t="s">
        <v>43</v>
      </c>
      <c r="H495">
        <v>3</v>
      </c>
      <c r="I495" t="s">
        <v>1339</v>
      </c>
      <c r="J495">
        <v>0</v>
      </c>
      <c r="K495">
        <v>976.32</v>
      </c>
    </row>
    <row r="496" spans="1:11" x14ac:dyDescent="0.25">
      <c r="A496" t="s">
        <v>837</v>
      </c>
      <c r="B496" t="s">
        <v>1340</v>
      </c>
      <c r="C496" t="s">
        <v>838</v>
      </c>
      <c r="D496" t="s">
        <v>76</v>
      </c>
      <c r="E496" t="s">
        <v>986</v>
      </c>
      <c r="F496" t="s">
        <v>947</v>
      </c>
      <c r="G496" t="s">
        <v>22</v>
      </c>
      <c r="H496">
        <v>40</v>
      </c>
      <c r="I496">
        <v>45.35</v>
      </c>
      <c r="J496">
        <v>15</v>
      </c>
      <c r="K496">
        <v>1541.9</v>
      </c>
    </row>
    <row r="497" spans="1:11" x14ac:dyDescent="0.25">
      <c r="A497" t="s">
        <v>839</v>
      </c>
      <c r="B497" t="s">
        <v>1341</v>
      </c>
      <c r="C497" t="s">
        <v>371</v>
      </c>
      <c r="D497" t="s">
        <v>53</v>
      </c>
      <c r="E497" t="s">
        <v>20</v>
      </c>
      <c r="F497" t="s">
        <v>962</v>
      </c>
      <c r="H497">
        <v>5</v>
      </c>
      <c r="I497">
        <v>346.52</v>
      </c>
      <c r="J497">
        <v>0</v>
      </c>
      <c r="K497">
        <v>1732.6</v>
      </c>
    </row>
    <row r="498" spans="1:11" x14ac:dyDescent="0.25">
      <c r="A498" t="s">
        <v>840</v>
      </c>
      <c r="B498" t="s">
        <v>1342</v>
      </c>
      <c r="C498" t="s">
        <v>841</v>
      </c>
      <c r="D498" t="s">
        <v>99</v>
      </c>
      <c r="E498" t="s">
        <v>26</v>
      </c>
      <c r="F498" t="s">
        <v>945</v>
      </c>
      <c r="G498" t="s">
        <v>55</v>
      </c>
      <c r="H498">
        <v>46</v>
      </c>
      <c r="I498">
        <v>417.7</v>
      </c>
      <c r="J498">
        <v>0</v>
      </c>
      <c r="K498">
        <v>19214.2</v>
      </c>
    </row>
    <row r="499" spans="1:11" x14ac:dyDescent="0.25">
      <c r="A499" t="s">
        <v>842</v>
      </c>
      <c r="B499" t="s">
        <v>1052</v>
      </c>
      <c r="C499" t="s">
        <v>254</v>
      </c>
      <c r="D499" t="s">
        <v>53</v>
      </c>
      <c r="E499" t="s">
        <v>26</v>
      </c>
      <c r="F499" t="s">
        <v>993</v>
      </c>
      <c r="G499" t="s">
        <v>43</v>
      </c>
      <c r="H499">
        <v>31</v>
      </c>
      <c r="I499">
        <v>336.5</v>
      </c>
      <c r="J499" t="s">
        <v>899</v>
      </c>
      <c r="K499">
        <v>9909.92</v>
      </c>
    </row>
    <row r="500" spans="1:11" x14ac:dyDescent="0.25">
      <c r="A500" t="s">
        <v>843</v>
      </c>
      <c r="B500" t="s">
        <v>1343</v>
      </c>
      <c r="C500" t="s">
        <v>686</v>
      </c>
      <c r="D500" t="s">
        <v>76</v>
      </c>
      <c r="E500" t="s">
        <v>14</v>
      </c>
      <c r="F500" t="s">
        <v>15</v>
      </c>
      <c r="G500" t="s">
        <v>16</v>
      </c>
      <c r="H500">
        <v>9</v>
      </c>
      <c r="I500">
        <v>92.93</v>
      </c>
      <c r="J500">
        <v>10</v>
      </c>
      <c r="K500">
        <v>752.73</v>
      </c>
    </row>
    <row r="501" spans="1:11" x14ac:dyDescent="0.25">
      <c r="A501" t="s">
        <v>844</v>
      </c>
      <c r="B501" t="s">
        <v>1344</v>
      </c>
      <c r="C501" t="s">
        <v>627</v>
      </c>
      <c r="D501" t="s">
        <v>25</v>
      </c>
      <c r="E501" t="s">
        <v>956</v>
      </c>
      <c r="F501" t="s">
        <v>1001</v>
      </c>
      <c r="G501" t="s">
        <v>22</v>
      </c>
      <c r="H501">
        <v>46</v>
      </c>
      <c r="I501">
        <v>36.42</v>
      </c>
      <c r="J501">
        <v>15</v>
      </c>
      <c r="K501">
        <v>1424.02</v>
      </c>
    </row>
    <row r="502" spans="1:11" x14ac:dyDescent="0.25">
      <c r="A502" t="s">
        <v>845</v>
      </c>
      <c r="B502" t="s">
        <v>1345</v>
      </c>
      <c r="C502" t="s">
        <v>690</v>
      </c>
      <c r="D502" t="s">
        <v>25</v>
      </c>
      <c r="E502" t="s">
        <v>26</v>
      </c>
      <c r="F502" t="s">
        <v>969</v>
      </c>
      <c r="G502" t="s">
        <v>16</v>
      </c>
      <c r="H502">
        <v>2</v>
      </c>
      <c r="I502">
        <v>96.84</v>
      </c>
      <c r="J502">
        <v>0</v>
      </c>
      <c r="K502">
        <v>193.68</v>
      </c>
    </row>
    <row r="503" spans="1:11" x14ac:dyDescent="0.25">
      <c r="A503" t="s">
        <v>846</v>
      </c>
      <c r="B503" t="s">
        <v>1346</v>
      </c>
      <c r="C503" t="s">
        <v>96</v>
      </c>
      <c r="D503" t="s">
        <v>35</v>
      </c>
      <c r="E503" t="s">
        <v>986</v>
      </c>
      <c r="F503" t="s">
        <v>906</v>
      </c>
      <c r="G503" t="s">
        <v>43</v>
      </c>
      <c r="H503">
        <v>40</v>
      </c>
      <c r="I503">
        <v>349.28</v>
      </c>
      <c r="J503">
        <v>0</v>
      </c>
      <c r="K503">
        <v>13971.2</v>
      </c>
    </row>
    <row r="504" spans="1:11" x14ac:dyDescent="0.25">
      <c r="A504" t="s">
        <v>847</v>
      </c>
      <c r="B504" t="s">
        <v>1347</v>
      </c>
      <c r="C504" t="s">
        <v>650</v>
      </c>
      <c r="D504" t="s">
        <v>50</v>
      </c>
      <c r="E504" t="s">
        <v>36</v>
      </c>
      <c r="F504" t="s">
        <v>929</v>
      </c>
      <c r="G504" t="s">
        <v>43</v>
      </c>
      <c r="H504">
        <v>2</v>
      </c>
      <c r="I504">
        <v>1265.92</v>
      </c>
      <c r="J504">
        <v>0</v>
      </c>
      <c r="K504">
        <v>2531.84</v>
      </c>
    </row>
    <row r="505" spans="1:11" x14ac:dyDescent="0.25">
      <c r="A505" t="s">
        <v>848</v>
      </c>
      <c r="B505" t="s">
        <v>1034</v>
      </c>
      <c r="C505" t="s">
        <v>849</v>
      </c>
      <c r="D505" t="s">
        <v>50</v>
      </c>
      <c r="E505" t="s">
        <v>892</v>
      </c>
      <c r="F505" t="s">
        <v>898</v>
      </c>
      <c r="H505">
        <v>9</v>
      </c>
      <c r="I505">
        <v>41.54</v>
      </c>
      <c r="J505" t="s">
        <v>899</v>
      </c>
      <c r="K505">
        <v>355.17</v>
      </c>
    </row>
    <row r="506" spans="1:11" x14ac:dyDescent="0.25">
      <c r="A506" t="s">
        <v>850</v>
      </c>
      <c r="B506" t="s">
        <v>1348</v>
      </c>
      <c r="C506" t="s">
        <v>851</v>
      </c>
      <c r="D506" t="s">
        <v>76</v>
      </c>
      <c r="E506" t="s">
        <v>20</v>
      </c>
      <c r="F506" t="s">
        <v>893</v>
      </c>
      <c r="G506" t="s">
        <v>22</v>
      </c>
      <c r="H506">
        <v>41</v>
      </c>
      <c r="I506">
        <v>91.66</v>
      </c>
      <c r="J506">
        <v>20</v>
      </c>
      <c r="K506">
        <v>3006.45</v>
      </c>
    </row>
    <row r="507" spans="1:11" x14ac:dyDescent="0.25">
      <c r="A507" t="s">
        <v>852</v>
      </c>
      <c r="B507" t="s">
        <v>1349</v>
      </c>
      <c r="D507" t="s">
        <v>39</v>
      </c>
      <c r="E507" t="s">
        <v>895</v>
      </c>
      <c r="F507" t="s">
        <v>15</v>
      </c>
      <c r="G507" t="s">
        <v>16</v>
      </c>
      <c r="H507">
        <v>39</v>
      </c>
      <c r="I507">
        <v>86.58</v>
      </c>
      <c r="J507">
        <v>0</v>
      </c>
      <c r="K507">
        <v>3376.62</v>
      </c>
    </row>
    <row r="508" spans="1:11" x14ac:dyDescent="0.25">
      <c r="A508" t="s">
        <v>773</v>
      </c>
      <c r="B508" t="s">
        <v>1350</v>
      </c>
      <c r="C508" t="s">
        <v>774</v>
      </c>
      <c r="D508" t="s">
        <v>53</v>
      </c>
      <c r="E508" t="s">
        <v>60</v>
      </c>
      <c r="F508" t="s">
        <v>911</v>
      </c>
      <c r="G508" t="s">
        <v>55</v>
      </c>
      <c r="H508">
        <v>45</v>
      </c>
      <c r="I508" t="s">
        <v>1351</v>
      </c>
      <c r="J508">
        <v>20</v>
      </c>
      <c r="K508">
        <v>15475.32</v>
      </c>
    </row>
    <row r="509" spans="1:11" x14ac:dyDescent="0.25">
      <c r="A509" t="s">
        <v>853</v>
      </c>
      <c r="B509" t="s">
        <v>1352</v>
      </c>
      <c r="C509" t="s">
        <v>320</v>
      </c>
      <c r="D509" t="s">
        <v>50</v>
      </c>
      <c r="E509" t="s">
        <v>892</v>
      </c>
      <c r="F509" t="s">
        <v>893</v>
      </c>
      <c r="G509" t="s">
        <v>22</v>
      </c>
      <c r="H509">
        <v>25</v>
      </c>
      <c r="I509">
        <v>81.97</v>
      </c>
      <c r="J509">
        <v>0</v>
      </c>
      <c r="K509">
        <v>2049.25</v>
      </c>
    </row>
    <row r="510" spans="1:11" x14ac:dyDescent="0.25">
      <c r="A510" t="s">
        <v>854</v>
      </c>
      <c r="B510" t="s">
        <v>1353</v>
      </c>
      <c r="C510" t="s">
        <v>145</v>
      </c>
      <c r="D510" t="s">
        <v>19</v>
      </c>
      <c r="E510" t="s">
        <v>913</v>
      </c>
      <c r="F510" t="s">
        <v>898</v>
      </c>
      <c r="G510" t="s">
        <v>22</v>
      </c>
      <c r="H510">
        <v>48</v>
      </c>
      <c r="I510">
        <v>50.77</v>
      </c>
      <c r="J510">
        <v>15</v>
      </c>
      <c r="K510">
        <v>2071.42</v>
      </c>
    </row>
    <row r="511" spans="1:11" x14ac:dyDescent="0.25">
      <c r="A511" t="s">
        <v>855</v>
      </c>
      <c r="B511" t="s">
        <v>1091</v>
      </c>
      <c r="C511" t="s">
        <v>206</v>
      </c>
      <c r="D511" t="s">
        <v>53</v>
      </c>
      <c r="E511" t="s">
        <v>974</v>
      </c>
      <c r="F511" t="s">
        <v>945</v>
      </c>
      <c r="G511" t="s">
        <v>55</v>
      </c>
      <c r="H511">
        <v>36</v>
      </c>
      <c r="I511">
        <v>451.5</v>
      </c>
      <c r="J511">
        <v>10</v>
      </c>
      <c r="K511">
        <v>14628.6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8C6EB-B97E-4457-8F4F-0C7358FB6986}">
  <dimension ref="A1:D24"/>
  <sheetViews>
    <sheetView workbookViewId="0">
      <selection activeCell="N15" sqref="N15"/>
    </sheetView>
  </sheetViews>
  <sheetFormatPr defaultRowHeight="15" x14ac:dyDescent="0.25"/>
  <sheetData>
    <row r="1" spans="1:4" ht="18.75" x14ac:dyDescent="0.3">
      <c r="A1" s="13" t="s">
        <v>1362</v>
      </c>
      <c r="B1" s="13"/>
      <c r="C1" s="13"/>
      <c r="D1" s="13"/>
    </row>
    <row r="3" spans="1:4" x14ac:dyDescent="0.25">
      <c r="A3" t="s">
        <v>1363</v>
      </c>
    </row>
    <row r="5" spans="1:4" x14ac:dyDescent="0.25">
      <c r="A5" t="s">
        <v>1364</v>
      </c>
    </row>
    <row r="6" spans="1:4" x14ac:dyDescent="0.25">
      <c r="A6" t="s">
        <v>1365</v>
      </c>
    </row>
    <row r="8" spans="1:4" x14ac:dyDescent="0.25">
      <c r="A8" t="s">
        <v>1366</v>
      </c>
    </row>
    <row r="9" spans="1:4" x14ac:dyDescent="0.25">
      <c r="A9" t="s">
        <v>1367</v>
      </c>
    </row>
    <row r="11" spans="1:4" x14ac:dyDescent="0.25">
      <c r="A11" t="s">
        <v>1368</v>
      </c>
    </row>
    <row r="12" spans="1:4" x14ac:dyDescent="0.25">
      <c r="A12" t="s">
        <v>1369</v>
      </c>
    </row>
    <row r="14" spans="1:4" x14ac:dyDescent="0.25">
      <c r="A14" t="s">
        <v>1370</v>
      </c>
    </row>
    <row r="15" spans="1:4" x14ac:dyDescent="0.25">
      <c r="A15" t="s">
        <v>1371</v>
      </c>
    </row>
    <row r="17" spans="1:1" x14ac:dyDescent="0.25">
      <c r="A17" t="s">
        <v>1372</v>
      </c>
    </row>
    <row r="18" spans="1:1" x14ac:dyDescent="0.25">
      <c r="A18" t="s">
        <v>1373</v>
      </c>
    </row>
    <row r="20" spans="1:1" x14ac:dyDescent="0.25">
      <c r="A20" t="s">
        <v>1374</v>
      </c>
    </row>
    <row r="21" spans="1:1" x14ac:dyDescent="0.25">
      <c r="A21" t="s">
        <v>1375</v>
      </c>
    </row>
    <row r="23" spans="1:1" x14ac:dyDescent="0.25">
      <c r="A23" t="s">
        <v>1376</v>
      </c>
    </row>
    <row r="24" spans="1:1" x14ac:dyDescent="0.25">
      <c r="A24" t="s">
        <v>1377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85DA4-E36A-4722-A1BE-C947CA75B96A}">
  <dimension ref="A1:L511"/>
  <sheetViews>
    <sheetView workbookViewId="0">
      <selection activeCell="F3" sqref="F3"/>
    </sheetView>
  </sheetViews>
  <sheetFormatPr defaultRowHeight="15" x14ac:dyDescent="0.25"/>
  <cols>
    <col min="1" max="1" width="11.28515625" bestFit="1" customWidth="1"/>
    <col min="2" max="2" width="9.85546875" bestFit="1" customWidth="1"/>
    <col min="3" max="3" width="14.7109375" bestFit="1" customWidth="1"/>
    <col min="4" max="4" width="14.140625" bestFit="1" customWidth="1"/>
    <col min="5" max="5" width="9.42578125" bestFit="1" customWidth="1"/>
    <col min="6" max="6" width="14.85546875" bestFit="1" customWidth="1"/>
    <col min="7" max="7" width="11.140625" bestFit="1" customWidth="1"/>
    <col min="8" max="8" width="11" bestFit="1" customWidth="1"/>
    <col min="9" max="9" width="12.5703125" bestFit="1" customWidth="1"/>
    <col min="10" max="10" width="13.5703125" bestFit="1" customWidth="1"/>
    <col min="11" max="11" width="11.140625" bestFit="1" customWidth="1"/>
    <col min="12" max="12" width="16.5703125" bestFit="1" customWidth="1"/>
  </cols>
  <sheetData>
    <row r="1" spans="1:12" x14ac:dyDescent="0.25">
      <c r="A1" t="s">
        <v>0</v>
      </c>
      <c r="B1" t="s">
        <v>1</v>
      </c>
      <c r="C1" t="s">
        <v>2</v>
      </c>
      <c r="D1" t="s">
        <v>3</v>
      </c>
      <c r="E1" t="s">
        <v>4</v>
      </c>
      <c r="F1" t="s">
        <v>5</v>
      </c>
      <c r="G1" t="s">
        <v>6</v>
      </c>
      <c r="H1" t="s">
        <v>7</v>
      </c>
      <c r="I1" t="s">
        <v>8</v>
      </c>
      <c r="J1" t="s">
        <v>9</v>
      </c>
      <c r="K1" t="s">
        <v>10</v>
      </c>
      <c r="L1" t="s">
        <v>871</v>
      </c>
    </row>
    <row r="2" spans="1:12" x14ac:dyDescent="0.25">
      <c r="A2" t="s">
        <v>11</v>
      </c>
      <c r="B2" s="1">
        <v>45263</v>
      </c>
      <c r="C2" t="s">
        <v>12</v>
      </c>
      <c r="D2" t="s">
        <v>13</v>
      </c>
      <c r="E2" t="s">
        <v>14</v>
      </c>
      <c r="F2" t="s">
        <v>15</v>
      </c>
      <c r="G2" t="s">
        <v>16</v>
      </c>
      <c r="H2">
        <v>29</v>
      </c>
      <c r="I2">
        <v>91.07</v>
      </c>
      <c r="J2">
        <v>0</v>
      </c>
      <c r="K2">
        <v>2641.03</v>
      </c>
      <c r="L2" t="str">
        <f t="shared" ref="L2:L65" si="0">IF(J2=0, "No_Discount ", IF(J2&lt;=0.1, "Low ", IF(J2&lt;=0.2, "Medium ", "High ")))</f>
        <v xml:space="preserve">No_Discount </v>
      </c>
    </row>
    <row r="3" spans="1:12" x14ac:dyDescent="0.25">
      <c r="A3" t="s">
        <v>17</v>
      </c>
      <c r="B3" s="1">
        <v>45178</v>
      </c>
      <c r="C3" t="s">
        <v>18</v>
      </c>
      <c r="D3" t="s">
        <v>19</v>
      </c>
      <c r="E3" t="s">
        <v>20</v>
      </c>
      <c r="F3" t="s">
        <v>21</v>
      </c>
      <c r="G3" t="s">
        <v>22</v>
      </c>
      <c r="H3">
        <v>10</v>
      </c>
      <c r="I3">
        <v>79.599999999999994</v>
      </c>
      <c r="J3">
        <v>0</v>
      </c>
      <c r="K3">
        <v>796</v>
      </c>
      <c r="L3" t="str">
        <f t="shared" si="0"/>
        <v xml:space="preserve">No_Discount </v>
      </c>
    </row>
    <row r="4" spans="1:12" x14ac:dyDescent="0.25">
      <c r="A4" t="s">
        <v>23</v>
      </c>
      <c r="B4" s="1">
        <v>45170</v>
      </c>
      <c r="C4" t="s">
        <v>24</v>
      </c>
      <c r="D4" t="s">
        <v>25</v>
      </c>
      <c r="E4" t="s">
        <v>26</v>
      </c>
      <c r="F4" t="s">
        <v>27</v>
      </c>
      <c r="G4" t="s">
        <v>28</v>
      </c>
      <c r="H4">
        <v>24</v>
      </c>
      <c r="I4">
        <v>118.43</v>
      </c>
      <c r="J4">
        <v>0.15</v>
      </c>
      <c r="K4">
        <v>2415.9699999999998</v>
      </c>
      <c r="L4" t="str">
        <f t="shared" si="0"/>
        <v xml:space="preserve">Medium </v>
      </c>
    </row>
    <row r="5" spans="1:12" x14ac:dyDescent="0.25">
      <c r="A5" t="s">
        <v>29</v>
      </c>
      <c r="B5" s="1">
        <v>45063</v>
      </c>
      <c r="C5" t="s">
        <v>30</v>
      </c>
      <c r="D5" t="s">
        <v>31</v>
      </c>
      <c r="E5" t="s">
        <v>26</v>
      </c>
      <c r="F5" t="s">
        <v>32</v>
      </c>
      <c r="G5" t="s">
        <v>22</v>
      </c>
      <c r="H5">
        <v>33</v>
      </c>
      <c r="I5">
        <v>432.9</v>
      </c>
      <c r="J5">
        <v>0.91</v>
      </c>
      <c r="K5">
        <v>1357.14</v>
      </c>
      <c r="L5" t="str">
        <f t="shared" si="0"/>
        <v xml:space="preserve">High </v>
      </c>
    </row>
    <row r="6" spans="1:12" x14ac:dyDescent="0.25">
      <c r="A6" t="s">
        <v>33</v>
      </c>
      <c r="B6" s="1">
        <v>45141</v>
      </c>
      <c r="C6" t="s">
        <v>34</v>
      </c>
      <c r="D6" t="s">
        <v>35</v>
      </c>
      <c r="E6" t="s">
        <v>36</v>
      </c>
      <c r="F6" t="s">
        <v>21</v>
      </c>
      <c r="G6" t="s">
        <v>22</v>
      </c>
      <c r="H6">
        <v>12</v>
      </c>
      <c r="I6">
        <v>91.14</v>
      </c>
      <c r="J6">
        <v>0.1</v>
      </c>
      <c r="K6">
        <v>984.31</v>
      </c>
      <c r="L6" t="str">
        <f t="shared" si="0"/>
        <v xml:space="preserve">Low </v>
      </c>
    </row>
    <row r="7" spans="1:12" x14ac:dyDescent="0.25">
      <c r="A7" t="s">
        <v>37</v>
      </c>
      <c r="B7" s="1">
        <v>45241</v>
      </c>
      <c r="C7" t="s">
        <v>38</v>
      </c>
      <c r="D7" t="s">
        <v>39</v>
      </c>
      <c r="E7" t="s">
        <v>14</v>
      </c>
      <c r="F7" t="s">
        <v>27</v>
      </c>
      <c r="G7" t="s">
        <v>28</v>
      </c>
      <c r="H7">
        <v>37</v>
      </c>
      <c r="I7">
        <v>135.66999999999999</v>
      </c>
      <c r="J7">
        <v>0.2</v>
      </c>
      <c r="K7">
        <v>4015.83</v>
      </c>
      <c r="L7" t="str">
        <f t="shared" si="0"/>
        <v xml:space="preserve">Medium </v>
      </c>
    </row>
    <row r="8" spans="1:12" x14ac:dyDescent="0.25">
      <c r="A8" t="s">
        <v>40</v>
      </c>
      <c r="B8" s="1">
        <v>45114</v>
      </c>
      <c r="C8" t="s">
        <v>41</v>
      </c>
      <c r="D8" t="s">
        <v>31</v>
      </c>
      <c r="E8" t="s">
        <v>26</v>
      </c>
      <c r="F8" t="s">
        <v>42</v>
      </c>
      <c r="G8" t="s">
        <v>43</v>
      </c>
      <c r="H8">
        <v>19</v>
      </c>
      <c r="I8">
        <v>344.57</v>
      </c>
      <c r="J8">
        <v>0</v>
      </c>
      <c r="K8">
        <v>6546.83</v>
      </c>
      <c r="L8" t="str">
        <f t="shared" si="0"/>
        <v xml:space="preserve">No_Discount </v>
      </c>
    </row>
    <row r="9" spans="1:12" x14ac:dyDescent="0.25">
      <c r="A9" t="s">
        <v>44</v>
      </c>
      <c r="B9" s="1">
        <v>45001</v>
      </c>
      <c r="C9" t="s">
        <v>45</v>
      </c>
      <c r="D9" t="s">
        <v>35</v>
      </c>
      <c r="E9" t="s">
        <v>26</v>
      </c>
      <c r="F9" t="s">
        <v>32</v>
      </c>
      <c r="G9" t="s">
        <v>22</v>
      </c>
      <c r="H9">
        <v>33</v>
      </c>
      <c r="I9">
        <v>47.68</v>
      </c>
      <c r="J9">
        <v>0.1</v>
      </c>
      <c r="K9">
        <v>1416.1</v>
      </c>
      <c r="L9" t="str">
        <f t="shared" si="0"/>
        <v xml:space="preserve">Low </v>
      </c>
    </row>
    <row r="10" spans="1:12" x14ac:dyDescent="0.25">
      <c r="A10" t="s">
        <v>46</v>
      </c>
      <c r="B10" s="1">
        <v>44935</v>
      </c>
      <c r="C10" t="s">
        <v>47</v>
      </c>
      <c r="D10" t="s">
        <v>19</v>
      </c>
      <c r="E10" t="s">
        <v>36</v>
      </c>
      <c r="F10" t="s">
        <v>27</v>
      </c>
      <c r="G10" t="s">
        <v>28</v>
      </c>
      <c r="H10">
        <v>11</v>
      </c>
      <c r="I10">
        <v>123.27</v>
      </c>
      <c r="J10">
        <v>0.15</v>
      </c>
      <c r="K10">
        <v>1152.57</v>
      </c>
      <c r="L10" t="str">
        <f t="shared" si="0"/>
        <v xml:space="preserve">Medium </v>
      </c>
    </row>
    <row r="11" spans="1:12" x14ac:dyDescent="0.25">
      <c r="A11" t="s">
        <v>48</v>
      </c>
      <c r="B11" s="1">
        <v>45202</v>
      </c>
      <c r="C11" t="s">
        <v>49</v>
      </c>
      <c r="D11" t="s">
        <v>50</v>
      </c>
      <c r="E11" t="s">
        <v>36</v>
      </c>
      <c r="F11" t="s">
        <v>42</v>
      </c>
      <c r="G11" t="s">
        <v>43</v>
      </c>
      <c r="H11">
        <v>37</v>
      </c>
      <c r="I11">
        <v>327.07</v>
      </c>
      <c r="J11">
        <v>0.05</v>
      </c>
      <c r="K11">
        <v>11496.51</v>
      </c>
      <c r="L11" t="str">
        <f t="shared" si="0"/>
        <v xml:space="preserve">Low </v>
      </c>
    </row>
    <row r="12" spans="1:12" x14ac:dyDescent="0.25">
      <c r="A12" t="s">
        <v>51</v>
      </c>
      <c r="B12" s="1">
        <v>45157</v>
      </c>
      <c r="C12" t="s">
        <v>52</v>
      </c>
      <c r="D12" t="s">
        <v>53</v>
      </c>
      <c r="E12" t="s">
        <v>20</v>
      </c>
      <c r="F12" t="s">
        <v>54</v>
      </c>
      <c r="G12" t="s">
        <v>55</v>
      </c>
      <c r="H12">
        <v>11</v>
      </c>
      <c r="I12">
        <v>464.56</v>
      </c>
      <c r="J12">
        <v>0</v>
      </c>
      <c r="K12">
        <v>5110.16</v>
      </c>
      <c r="L12" t="str">
        <f t="shared" si="0"/>
        <v xml:space="preserve">No_Discount </v>
      </c>
    </row>
    <row r="13" spans="1:12" x14ac:dyDescent="0.25">
      <c r="A13" t="s">
        <v>56</v>
      </c>
      <c r="B13" s="1">
        <v>45125</v>
      </c>
      <c r="C13" t="s">
        <v>57</v>
      </c>
      <c r="D13" t="s">
        <v>31</v>
      </c>
      <c r="E13" t="s">
        <v>36</v>
      </c>
      <c r="F13" t="s">
        <v>32</v>
      </c>
      <c r="G13" t="s">
        <v>22</v>
      </c>
      <c r="H13">
        <v>38</v>
      </c>
      <c r="I13">
        <v>44.25</v>
      </c>
      <c r="J13">
        <v>0.2</v>
      </c>
      <c r="K13">
        <v>1345.2</v>
      </c>
      <c r="L13" t="str">
        <f t="shared" si="0"/>
        <v xml:space="preserve">Medium </v>
      </c>
    </row>
    <row r="14" spans="1:12" x14ac:dyDescent="0.25">
      <c r="A14" t="s">
        <v>58</v>
      </c>
      <c r="B14" s="1">
        <v>44931</v>
      </c>
      <c r="C14" t="s">
        <v>59</v>
      </c>
      <c r="D14" t="s">
        <v>13</v>
      </c>
      <c r="E14" t="s">
        <v>60</v>
      </c>
      <c r="F14" t="s">
        <v>32</v>
      </c>
      <c r="G14" t="s">
        <v>22</v>
      </c>
      <c r="H14">
        <v>9</v>
      </c>
      <c r="I14">
        <v>44.67</v>
      </c>
      <c r="J14">
        <v>0.15</v>
      </c>
      <c r="K14">
        <v>341.73</v>
      </c>
      <c r="L14" t="str">
        <f t="shared" si="0"/>
        <v xml:space="preserve">Medium </v>
      </c>
    </row>
    <row r="15" spans="1:12" x14ac:dyDescent="0.25">
      <c r="A15" t="s">
        <v>61</v>
      </c>
      <c r="B15" s="1">
        <v>45275</v>
      </c>
      <c r="C15" t="s">
        <v>62</v>
      </c>
      <c r="D15" t="s">
        <v>53</v>
      </c>
      <c r="E15" t="s">
        <v>60</v>
      </c>
      <c r="F15" t="s">
        <v>42</v>
      </c>
      <c r="G15" t="s">
        <v>43</v>
      </c>
      <c r="H15">
        <v>10</v>
      </c>
      <c r="I15">
        <v>296.79000000000002</v>
      </c>
      <c r="J15">
        <v>0.15</v>
      </c>
      <c r="K15">
        <v>2522.7199999999998</v>
      </c>
      <c r="L15" t="str">
        <f t="shared" si="0"/>
        <v xml:space="preserve">Medium </v>
      </c>
    </row>
    <row r="16" spans="1:12" x14ac:dyDescent="0.25">
      <c r="A16" t="s">
        <v>63</v>
      </c>
      <c r="B16" s="1">
        <v>45172</v>
      </c>
      <c r="C16" t="s">
        <v>64</v>
      </c>
      <c r="D16" t="s">
        <v>19</v>
      </c>
      <c r="E16" t="s">
        <v>36</v>
      </c>
      <c r="F16" t="s">
        <v>54</v>
      </c>
      <c r="G16" t="s">
        <v>55</v>
      </c>
      <c r="H16">
        <v>47</v>
      </c>
      <c r="I16">
        <v>508.06</v>
      </c>
      <c r="J16">
        <v>0.1</v>
      </c>
      <c r="K16">
        <v>21490.94</v>
      </c>
      <c r="L16" t="str">
        <f t="shared" si="0"/>
        <v xml:space="preserve">Low </v>
      </c>
    </row>
    <row r="17" spans="1:12" x14ac:dyDescent="0.25">
      <c r="A17" t="s">
        <v>65</v>
      </c>
      <c r="B17" s="1">
        <v>45180</v>
      </c>
      <c r="C17" t="s">
        <v>66</v>
      </c>
      <c r="D17" t="s">
        <v>67</v>
      </c>
      <c r="E17" t="s">
        <v>14</v>
      </c>
      <c r="F17" t="s">
        <v>15</v>
      </c>
      <c r="G17" t="s">
        <v>16</v>
      </c>
      <c r="H17">
        <v>11</v>
      </c>
      <c r="I17">
        <v>95.42</v>
      </c>
      <c r="J17">
        <v>0</v>
      </c>
      <c r="K17">
        <v>1049.6199999999999</v>
      </c>
      <c r="L17" t="str">
        <f t="shared" si="0"/>
        <v xml:space="preserve">No_Discount </v>
      </c>
    </row>
    <row r="18" spans="1:12" x14ac:dyDescent="0.25">
      <c r="A18" t="s">
        <v>68</v>
      </c>
      <c r="B18" s="1">
        <v>45127</v>
      </c>
      <c r="C18" t="s">
        <v>69</v>
      </c>
      <c r="D18" t="s">
        <v>39</v>
      </c>
      <c r="E18" t="s">
        <v>26</v>
      </c>
      <c r="F18" t="s">
        <v>15</v>
      </c>
      <c r="G18" t="s">
        <v>16</v>
      </c>
      <c r="H18">
        <v>29</v>
      </c>
      <c r="I18">
        <v>99.23</v>
      </c>
      <c r="J18">
        <v>0.2</v>
      </c>
      <c r="K18">
        <v>2302.14</v>
      </c>
      <c r="L18" t="str">
        <f t="shared" si="0"/>
        <v xml:space="preserve">Medium </v>
      </c>
    </row>
    <row r="19" spans="1:12" x14ac:dyDescent="0.25">
      <c r="A19" t="s">
        <v>70</v>
      </c>
      <c r="B19" s="1">
        <v>45274</v>
      </c>
      <c r="C19" t="s">
        <v>71</v>
      </c>
      <c r="D19" t="s">
        <v>53</v>
      </c>
      <c r="E19" t="s">
        <v>36</v>
      </c>
      <c r="F19" t="s">
        <v>42</v>
      </c>
      <c r="G19" t="s">
        <v>43</v>
      </c>
      <c r="H19">
        <v>9</v>
      </c>
      <c r="I19">
        <v>315.56</v>
      </c>
      <c r="J19">
        <v>0.15</v>
      </c>
      <c r="K19">
        <v>2414.0300000000002</v>
      </c>
      <c r="L19" t="str">
        <f t="shared" si="0"/>
        <v xml:space="preserve">Medium </v>
      </c>
    </row>
    <row r="20" spans="1:12" x14ac:dyDescent="0.25">
      <c r="A20" t="s">
        <v>72</v>
      </c>
      <c r="B20" s="1">
        <v>45120</v>
      </c>
      <c r="C20" t="s">
        <v>73</v>
      </c>
      <c r="D20" t="s">
        <v>19</v>
      </c>
      <c r="E20" t="s">
        <v>14</v>
      </c>
      <c r="F20" t="s">
        <v>15</v>
      </c>
      <c r="G20" t="s">
        <v>16</v>
      </c>
      <c r="H20">
        <v>11</v>
      </c>
      <c r="I20">
        <v>108.46</v>
      </c>
      <c r="J20">
        <v>0.15</v>
      </c>
      <c r="K20">
        <v>1014.1</v>
      </c>
      <c r="L20" t="str">
        <f t="shared" si="0"/>
        <v xml:space="preserve">Medium </v>
      </c>
    </row>
    <row r="21" spans="1:12" x14ac:dyDescent="0.25">
      <c r="A21" t="s">
        <v>74</v>
      </c>
      <c r="B21" s="1">
        <v>45050</v>
      </c>
      <c r="C21" t="s">
        <v>75</v>
      </c>
      <c r="D21" t="s">
        <v>76</v>
      </c>
      <c r="E21" t="s">
        <v>14</v>
      </c>
      <c r="F21" t="s">
        <v>42</v>
      </c>
      <c r="G21" t="s">
        <v>43</v>
      </c>
      <c r="H21">
        <v>22</v>
      </c>
      <c r="I21">
        <v>292.97000000000003</v>
      </c>
      <c r="J21">
        <v>0</v>
      </c>
      <c r="K21">
        <v>6445.34</v>
      </c>
      <c r="L21" t="str">
        <f t="shared" si="0"/>
        <v xml:space="preserve">No_Discount </v>
      </c>
    </row>
    <row r="22" spans="1:12" x14ac:dyDescent="0.25">
      <c r="A22" t="s">
        <v>77</v>
      </c>
      <c r="B22" s="1">
        <v>44985</v>
      </c>
      <c r="C22" t="s">
        <v>78</v>
      </c>
      <c r="D22" t="s">
        <v>39</v>
      </c>
      <c r="E22" t="s">
        <v>36</v>
      </c>
      <c r="F22" t="s">
        <v>79</v>
      </c>
      <c r="G22" t="s">
        <v>22</v>
      </c>
      <c r="H22">
        <v>32</v>
      </c>
      <c r="I22">
        <v>35.11</v>
      </c>
      <c r="J22">
        <v>0.15</v>
      </c>
      <c r="K22">
        <v>954.99</v>
      </c>
      <c r="L22" t="str">
        <f t="shared" si="0"/>
        <v xml:space="preserve">Medium </v>
      </c>
    </row>
    <row r="23" spans="1:12" x14ac:dyDescent="0.25">
      <c r="A23" t="s">
        <v>80</v>
      </c>
      <c r="B23" s="1">
        <v>45005</v>
      </c>
      <c r="C23" t="s">
        <v>81</v>
      </c>
      <c r="D23" t="s">
        <v>76</v>
      </c>
      <c r="E23" t="s">
        <v>14</v>
      </c>
      <c r="F23" t="s">
        <v>82</v>
      </c>
      <c r="G23" t="s">
        <v>43</v>
      </c>
      <c r="H23">
        <v>17</v>
      </c>
      <c r="I23">
        <v>1237.6400000000001</v>
      </c>
      <c r="J23">
        <v>0</v>
      </c>
      <c r="K23">
        <v>21039.88</v>
      </c>
      <c r="L23" t="str">
        <f t="shared" si="0"/>
        <v xml:space="preserve">No_Discount </v>
      </c>
    </row>
    <row r="24" spans="1:12" x14ac:dyDescent="0.25">
      <c r="A24" t="s">
        <v>83</v>
      </c>
      <c r="B24" s="1">
        <v>45087</v>
      </c>
      <c r="C24" t="s">
        <v>84</v>
      </c>
      <c r="D24" t="s">
        <v>76</v>
      </c>
      <c r="E24" t="s">
        <v>26</v>
      </c>
      <c r="F24" t="s">
        <v>82</v>
      </c>
      <c r="G24" t="s">
        <v>43</v>
      </c>
      <c r="H24">
        <v>5</v>
      </c>
      <c r="I24">
        <v>1160.54</v>
      </c>
      <c r="J24">
        <v>0.15</v>
      </c>
      <c r="K24">
        <v>4932.3</v>
      </c>
      <c r="L24" t="str">
        <f t="shared" si="0"/>
        <v xml:space="preserve">Medium </v>
      </c>
    </row>
    <row r="25" spans="1:12" x14ac:dyDescent="0.25">
      <c r="A25" t="s">
        <v>85</v>
      </c>
      <c r="B25" s="1">
        <v>45212</v>
      </c>
      <c r="C25" t="s">
        <v>86</v>
      </c>
      <c r="D25" t="s">
        <v>39</v>
      </c>
      <c r="E25" t="s">
        <v>36</v>
      </c>
      <c r="F25" t="s">
        <v>79</v>
      </c>
      <c r="G25" t="s">
        <v>22</v>
      </c>
      <c r="H25">
        <v>48</v>
      </c>
      <c r="I25">
        <v>32.01</v>
      </c>
      <c r="J25">
        <v>0</v>
      </c>
      <c r="K25">
        <v>1536.48</v>
      </c>
      <c r="L25" t="str">
        <f t="shared" si="0"/>
        <v xml:space="preserve">No_Discount </v>
      </c>
    </row>
    <row r="26" spans="1:12" x14ac:dyDescent="0.25">
      <c r="A26" t="s">
        <v>87</v>
      </c>
      <c r="B26" s="1">
        <v>44972</v>
      </c>
      <c r="C26" t="s">
        <v>49</v>
      </c>
      <c r="D26" t="s">
        <v>50</v>
      </c>
      <c r="E26" t="s">
        <v>20</v>
      </c>
      <c r="F26" t="s">
        <v>79</v>
      </c>
      <c r="G26" t="s">
        <v>22</v>
      </c>
      <c r="H26">
        <v>39</v>
      </c>
      <c r="I26">
        <v>38.46</v>
      </c>
      <c r="J26">
        <v>0.2</v>
      </c>
      <c r="K26">
        <v>1199.95</v>
      </c>
      <c r="L26" t="str">
        <f t="shared" si="0"/>
        <v xml:space="preserve">Medium </v>
      </c>
    </row>
    <row r="27" spans="1:12" x14ac:dyDescent="0.25">
      <c r="A27" t="s">
        <v>88</v>
      </c>
      <c r="B27" s="1">
        <v>45154</v>
      </c>
      <c r="C27" t="s">
        <v>89</v>
      </c>
      <c r="D27" t="s">
        <v>25</v>
      </c>
      <c r="E27" t="s">
        <v>14</v>
      </c>
      <c r="F27" t="s">
        <v>21</v>
      </c>
      <c r="G27" t="s">
        <v>22</v>
      </c>
      <c r="H27">
        <v>40</v>
      </c>
      <c r="I27">
        <v>85.09</v>
      </c>
      <c r="J27">
        <v>0</v>
      </c>
      <c r="K27">
        <v>3403.6</v>
      </c>
      <c r="L27" t="str">
        <f t="shared" si="0"/>
        <v xml:space="preserve">No_Discount </v>
      </c>
    </row>
    <row r="28" spans="1:12" x14ac:dyDescent="0.25">
      <c r="A28" t="s">
        <v>90</v>
      </c>
      <c r="B28" s="1">
        <v>45183</v>
      </c>
      <c r="C28" t="s">
        <v>91</v>
      </c>
      <c r="D28" t="s">
        <v>19</v>
      </c>
      <c r="E28" t="s">
        <v>60</v>
      </c>
      <c r="F28" t="s">
        <v>27</v>
      </c>
      <c r="G28" t="s">
        <v>28</v>
      </c>
      <c r="H28">
        <v>50</v>
      </c>
      <c r="I28">
        <v>136.04</v>
      </c>
      <c r="J28">
        <v>0</v>
      </c>
      <c r="K28">
        <v>6802</v>
      </c>
      <c r="L28" t="str">
        <f t="shared" si="0"/>
        <v xml:space="preserve">No_Discount </v>
      </c>
    </row>
    <row r="29" spans="1:12" x14ac:dyDescent="0.25">
      <c r="A29" t="s">
        <v>92</v>
      </c>
      <c r="B29" s="1">
        <v>45282</v>
      </c>
      <c r="C29" t="s">
        <v>89</v>
      </c>
      <c r="D29" t="s">
        <v>25</v>
      </c>
      <c r="E29" t="s">
        <v>20</v>
      </c>
      <c r="F29" t="s">
        <v>27</v>
      </c>
      <c r="G29" t="s">
        <v>28</v>
      </c>
      <c r="H29">
        <v>30</v>
      </c>
      <c r="I29">
        <v>133.53</v>
      </c>
      <c r="J29">
        <v>0.05</v>
      </c>
      <c r="K29">
        <v>3805.6</v>
      </c>
      <c r="L29" t="str">
        <f t="shared" si="0"/>
        <v xml:space="preserve">Low </v>
      </c>
    </row>
    <row r="30" spans="1:12" x14ac:dyDescent="0.25">
      <c r="A30" t="s">
        <v>93</v>
      </c>
      <c r="B30" s="1">
        <v>45146</v>
      </c>
      <c r="C30" t="s">
        <v>94</v>
      </c>
      <c r="D30" t="s">
        <v>76</v>
      </c>
      <c r="E30" t="s">
        <v>14</v>
      </c>
      <c r="F30" t="s">
        <v>82</v>
      </c>
      <c r="G30" t="s">
        <v>43</v>
      </c>
      <c r="H30">
        <v>36</v>
      </c>
      <c r="I30">
        <v>1175.67</v>
      </c>
      <c r="J30">
        <v>0.1</v>
      </c>
      <c r="K30">
        <v>38091.71</v>
      </c>
      <c r="L30" t="str">
        <f t="shared" si="0"/>
        <v xml:space="preserve">Low </v>
      </c>
    </row>
    <row r="31" spans="1:12" x14ac:dyDescent="0.25">
      <c r="A31" t="s">
        <v>95</v>
      </c>
      <c r="B31" s="1">
        <v>45157</v>
      </c>
      <c r="C31" t="s">
        <v>96</v>
      </c>
      <c r="D31" t="s">
        <v>39</v>
      </c>
      <c r="E31" t="s">
        <v>26</v>
      </c>
      <c r="F31" t="s">
        <v>27</v>
      </c>
      <c r="G31" t="s">
        <v>28</v>
      </c>
      <c r="H31">
        <v>13</v>
      </c>
      <c r="I31">
        <v>137.44</v>
      </c>
      <c r="J31">
        <v>0.15</v>
      </c>
      <c r="K31">
        <v>1518.71</v>
      </c>
      <c r="L31" t="str">
        <f t="shared" si="0"/>
        <v xml:space="preserve">Medium </v>
      </c>
    </row>
    <row r="32" spans="1:12" x14ac:dyDescent="0.25">
      <c r="A32" t="s">
        <v>97</v>
      </c>
      <c r="B32" s="1">
        <v>45215</v>
      </c>
      <c r="C32" t="s">
        <v>98</v>
      </c>
      <c r="D32" t="s">
        <v>99</v>
      </c>
      <c r="E32" t="s">
        <v>14</v>
      </c>
      <c r="F32" t="s">
        <v>82</v>
      </c>
      <c r="G32" t="s">
        <v>43</v>
      </c>
      <c r="H32">
        <v>35</v>
      </c>
      <c r="I32">
        <v>1307.18</v>
      </c>
      <c r="J32">
        <v>0.15</v>
      </c>
      <c r="K32">
        <v>38888.61</v>
      </c>
      <c r="L32" t="str">
        <f t="shared" si="0"/>
        <v xml:space="preserve">Medium </v>
      </c>
    </row>
    <row r="33" spans="1:12" x14ac:dyDescent="0.25">
      <c r="A33" t="s">
        <v>100</v>
      </c>
      <c r="B33" s="1">
        <v>45136</v>
      </c>
      <c r="C33" t="s">
        <v>34</v>
      </c>
      <c r="D33" t="s">
        <v>35</v>
      </c>
      <c r="E33" t="s">
        <v>20</v>
      </c>
      <c r="F33" t="s">
        <v>54</v>
      </c>
      <c r="G33" t="s">
        <v>55</v>
      </c>
      <c r="H33">
        <v>38</v>
      </c>
      <c r="I33">
        <v>422.15</v>
      </c>
      <c r="J33">
        <v>0.15</v>
      </c>
      <c r="K33">
        <v>13635.44</v>
      </c>
      <c r="L33" t="str">
        <f t="shared" si="0"/>
        <v xml:space="preserve">Medium </v>
      </c>
    </row>
    <row r="34" spans="1:12" x14ac:dyDescent="0.25">
      <c r="A34" t="s">
        <v>101</v>
      </c>
      <c r="B34" s="1">
        <v>45150</v>
      </c>
      <c r="C34" t="s">
        <v>102</v>
      </c>
      <c r="D34" t="s">
        <v>39</v>
      </c>
      <c r="E34" t="s">
        <v>26</v>
      </c>
      <c r="F34" t="s">
        <v>32</v>
      </c>
      <c r="G34" t="s">
        <v>22</v>
      </c>
      <c r="H34">
        <v>15</v>
      </c>
      <c r="I34">
        <v>47.07</v>
      </c>
      <c r="J34">
        <v>0</v>
      </c>
      <c r="K34">
        <v>706.05</v>
      </c>
      <c r="L34" t="str">
        <f t="shared" si="0"/>
        <v xml:space="preserve">No_Discount </v>
      </c>
    </row>
    <row r="35" spans="1:12" x14ac:dyDescent="0.25">
      <c r="A35" t="s">
        <v>103</v>
      </c>
      <c r="B35" s="1">
        <v>45000</v>
      </c>
      <c r="C35" t="s">
        <v>104</v>
      </c>
      <c r="D35" t="s">
        <v>67</v>
      </c>
      <c r="E35" t="s">
        <v>26</v>
      </c>
      <c r="F35" t="s">
        <v>82</v>
      </c>
      <c r="G35" t="s">
        <v>43</v>
      </c>
      <c r="H35">
        <v>9</v>
      </c>
      <c r="I35">
        <v>1121.1099999999999</v>
      </c>
      <c r="J35">
        <v>0</v>
      </c>
      <c r="K35">
        <v>10089.99</v>
      </c>
      <c r="L35" t="str">
        <f t="shared" si="0"/>
        <v xml:space="preserve">No_Discount </v>
      </c>
    </row>
    <row r="36" spans="1:12" x14ac:dyDescent="0.25">
      <c r="A36" t="s">
        <v>105</v>
      </c>
      <c r="B36" s="1">
        <v>45231</v>
      </c>
      <c r="C36" t="s">
        <v>86</v>
      </c>
      <c r="D36" t="s">
        <v>50</v>
      </c>
      <c r="E36" t="s">
        <v>20</v>
      </c>
      <c r="F36" t="s">
        <v>82</v>
      </c>
      <c r="G36" t="s">
        <v>43</v>
      </c>
      <c r="H36">
        <v>43</v>
      </c>
      <c r="I36">
        <v>1279.23</v>
      </c>
      <c r="J36">
        <v>0.1</v>
      </c>
      <c r="K36">
        <v>49506.2</v>
      </c>
      <c r="L36" t="str">
        <f t="shared" si="0"/>
        <v xml:space="preserve">Low </v>
      </c>
    </row>
    <row r="37" spans="1:12" x14ac:dyDescent="0.25">
      <c r="A37" t="s">
        <v>106</v>
      </c>
      <c r="B37" s="1">
        <v>44969</v>
      </c>
      <c r="C37" t="s">
        <v>107</v>
      </c>
      <c r="D37" t="s">
        <v>99</v>
      </c>
      <c r="E37" t="s">
        <v>26</v>
      </c>
      <c r="F37" t="s">
        <v>21</v>
      </c>
      <c r="G37" t="s">
        <v>22</v>
      </c>
      <c r="H37">
        <v>31</v>
      </c>
      <c r="I37">
        <v>86.72</v>
      </c>
      <c r="J37">
        <v>0</v>
      </c>
      <c r="K37">
        <v>2688.32</v>
      </c>
      <c r="L37" t="str">
        <f t="shared" si="0"/>
        <v xml:space="preserve">No_Discount </v>
      </c>
    </row>
    <row r="38" spans="1:12" x14ac:dyDescent="0.25">
      <c r="A38" t="s">
        <v>108</v>
      </c>
      <c r="B38" s="1">
        <v>45213</v>
      </c>
      <c r="C38" t="s">
        <v>109</v>
      </c>
      <c r="D38" t="s">
        <v>50</v>
      </c>
      <c r="E38" t="s">
        <v>60</v>
      </c>
      <c r="F38" t="s">
        <v>82</v>
      </c>
      <c r="G38" t="s">
        <v>43</v>
      </c>
      <c r="H38">
        <v>45</v>
      </c>
      <c r="I38">
        <v>1084.69</v>
      </c>
      <c r="J38">
        <v>0.05</v>
      </c>
      <c r="K38">
        <v>46370.5</v>
      </c>
      <c r="L38" t="str">
        <f t="shared" si="0"/>
        <v xml:space="preserve">Low </v>
      </c>
    </row>
    <row r="39" spans="1:12" x14ac:dyDescent="0.25">
      <c r="A39" t="s">
        <v>110</v>
      </c>
      <c r="B39" s="1">
        <v>45082</v>
      </c>
      <c r="C39" t="s">
        <v>111</v>
      </c>
      <c r="D39" t="s">
        <v>19</v>
      </c>
      <c r="E39" t="s">
        <v>14</v>
      </c>
      <c r="F39" t="s">
        <v>21</v>
      </c>
      <c r="G39" t="s">
        <v>22</v>
      </c>
      <c r="H39">
        <v>7</v>
      </c>
      <c r="I39">
        <v>82.7</v>
      </c>
      <c r="J39">
        <v>0</v>
      </c>
      <c r="K39">
        <v>578.9</v>
      </c>
      <c r="L39" t="str">
        <f t="shared" si="0"/>
        <v xml:space="preserve">No_Discount </v>
      </c>
    </row>
    <row r="40" spans="1:12" x14ac:dyDescent="0.25">
      <c r="A40" t="s">
        <v>112</v>
      </c>
      <c r="B40" s="1">
        <v>45102</v>
      </c>
      <c r="C40" t="s">
        <v>113</v>
      </c>
      <c r="D40" t="s">
        <v>39</v>
      </c>
      <c r="E40" t="s">
        <v>60</v>
      </c>
      <c r="F40" t="s">
        <v>42</v>
      </c>
      <c r="G40" t="s">
        <v>43</v>
      </c>
      <c r="H40">
        <v>29</v>
      </c>
      <c r="I40">
        <v>360.54</v>
      </c>
      <c r="J40">
        <v>0.2</v>
      </c>
      <c r="K40">
        <v>8364.5300000000007</v>
      </c>
      <c r="L40" t="str">
        <f t="shared" si="0"/>
        <v xml:space="preserve">Medium </v>
      </c>
    </row>
    <row r="41" spans="1:12" x14ac:dyDescent="0.25">
      <c r="A41" t="s">
        <v>114</v>
      </c>
      <c r="B41" s="1">
        <v>45289</v>
      </c>
      <c r="C41" t="s">
        <v>115</v>
      </c>
      <c r="D41" t="s">
        <v>99</v>
      </c>
      <c r="E41" t="s">
        <v>36</v>
      </c>
      <c r="F41" t="s">
        <v>42</v>
      </c>
      <c r="G41" t="s">
        <v>43</v>
      </c>
      <c r="H41">
        <v>50</v>
      </c>
      <c r="I41">
        <v>299.25</v>
      </c>
      <c r="J41">
        <v>0</v>
      </c>
      <c r="K41">
        <v>14962.5</v>
      </c>
      <c r="L41" t="str">
        <f t="shared" si="0"/>
        <v xml:space="preserve">No_Discount </v>
      </c>
    </row>
    <row r="42" spans="1:12" x14ac:dyDescent="0.25">
      <c r="A42" t="s">
        <v>116</v>
      </c>
      <c r="B42" s="1">
        <v>45045</v>
      </c>
      <c r="C42" t="s">
        <v>117</v>
      </c>
      <c r="D42" t="s">
        <v>25</v>
      </c>
      <c r="E42" t="s">
        <v>14</v>
      </c>
      <c r="F42" t="s">
        <v>21</v>
      </c>
      <c r="G42" t="s">
        <v>22</v>
      </c>
      <c r="H42">
        <v>29</v>
      </c>
      <c r="I42">
        <v>87.94</v>
      </c>
      <c r="J42">
        <v>0.1</v>
      </c>
      <c r="K42">
        <v>2295.23</v>
      </c>
      <c r="L42" t="str">
        <f t="shared" si="0"/>
        <v xml:space="preserve">Low </v>
      </c>
    </row>
    <row r="43" spans="1:12" x14ac:dyDescent="0.25">
      <c r="A43" t="s">
        <v>118</v>
      </c>
      <c r="B43" s="1">
        <v>45163</v>
      </c>
      <c r="C43" t="s">
        <v>119</v>
      </c>
      <c r="D43" t="s">
        <v>53</v>
      </c>
      <c r="E43" t="s">
        <v>26</v>
      </c>
      <c r="F43" t="s">
        <v>27</v>
      </c>
      <c r="G43" t="s">
        <v>28</v>
      </c>
      <c r="H43">
        <v>13</v>
      </c>
      <c r="I43">
        <v>111.03</v>
      </c>
      <c r="J43">
        <v>0</v>
      </c>
      <c r="K43">
        <v>1443.39</v>
      </c>
      <c r="L43" t="str">
        <f t="shared" si="0"/>
        <v xml:space="preserve">No_Discount </v>
      </c>
    </row>
    <row r="44" spans="1:12" x14ac:dyDescent="0.25">
      <c r="A44" t="s">
        <v>120</v>
      </c>
      <c r="B44" s="1">
        <v>45022</v>
      </c>
      <c r="C44" t="s">
        <v>121</v>
      </c>
      <c r="D44" t="s">
        <v>13</v>
      </c>
      <c r="E44" t="s">
        <v>26</v>
      </c>
      <c r="F44" t="s">
        <v>21</v>
      </c>
      <c r="G44" t="s">
        <v>22</v>
      </c>
      <c r="H44">
        <v>4</v>
      </c>
      <c r="I44">
        <v>76.5</v>
      </c>
      <c r="J44">
        <v>0.05</v>
      </c>
      <c r="K44">
        <v>290.7</v>
      </c>
      <c r="L44" t="str">
        <f t="shared" si="0"/>
        <v xml:space="preserve">Low </v>
      </c>
    </row>
    <row r="45" spans="1:12" x14ac:dyDescent="0.25">
      <c r="A45" t="s">
        <v>122</v>
      </c>
      <c r="B45" s="1">
        <v>45157</v>
      </c>
      <c r="C45" t="s">
        <v>123</v>
      </c>
      <c r="D45" t="s">
        <v>35</v>
      </c>
      <c r="E45" t="s">
        <v>14</v>
      </c>
      <c r="F45" t="s">
        <v>79</v>
      </c>
      <c r="G45" t="s">
        <v>22</v>
      </c>
      <c r="H45">
        <v>24</v>
      </c>
      <c r="I45">
        <v>32.99</v>
      </c>
      <c r="J45">
        <v>0</v>
      </c>
      <c r="K45">
        <v>791.76</v>
      </c>
      <c r="L45" t="str">
        <f t="shared" si="0"/>
        <v xml:space="preserve">No_Discount </v>
      </c>
    </row>
    <row r="46" spans="1:12" x14ac:dyDescent="0.25">
      <c r="A46" t="s">
        <v>124</v>
      </c>
      <c r="B46" s="1">
        <v>45216</v>
      </c>
      <c r="C46" t="s">
        <v>125</v>
      </c>
      <c r="D46" t="s">
        <v>53</v>
      </c>
      <c r="E46" t="s">
        <v>20</v>
      </c>
      <c r="F46" t="s">
        <v>42</v>
      </c>
      <c r="G46" t="s">
        <v>43</v>
      </c>
      <c r="H46">
        <v>37</v>
      </c>
      <c r="I46">
        <v>365.32</v>
      </c>
      <c r="J46">
        <v>0.05</v>
      </c>
      <c r="K46">
        <v>12841</v>
      </c>
      <c r="L46" t="str">
        <f t="shared" si="0"/>
        <v xml:space="preserve">Low </v>
      </c>
    </row>
    <row r="47" spans="1:12" x14ac:dyDescent="0.25">
      <c r="A47" t="s">
        <v>126</v>
      </c>
      <c r="B47" s="1">
        <v>45051</v>
      </c>
      <c r="C47" t="s">
        <v>127</v>
      </c>
      <c r="D47" t="s">
        <v>53</v>
      </c>
      <c r="E47" t="s">
        <v>20</v>
      </c>
      <c r="F47" t="s">
        <v>27</v>
      </c>
      <c r="G47" t="s">
        <v>28</v>
      </c>
      <c r="H47">
        <v>17</v>
      </c>
      <c r="I47">
        <v>129.75</v>
      </c>
      <c r="J47">
        <v>0</v>
      </c>
      <c r="K47">
        <v>2205.75</v>
      </c>
      <c r="L47" t="str">
        <f t="shared" si="0"/>
        <v xml:space="preserve">No_Discount </v>
      </c>
    </row>
    <row r="48" spans="1:12" x14ac:dyDescent="0.25">
      <c r="A48" t="s">
        <v>128</v>
      </c>
      <c r="B48" s="1">
        <v>45105</v>
      </c>
      <c r="C48" t="s">
        <v>129</v>
      </c>
      <c r="D48" t="s">
        <v>67</v>
      </c>
      <c r="E48" t="s">
        <v>26</v>
      </c>
      <c r="F48" t="s">
        <v>32</v>
      </c>
      <c r="G48" t="s">
        <v>22</v>
      </c>
      <c r="H48">
        <v>34</v>
      </c>
      <c r="I48">
        <v>47.85</v>
      </c>
      <c r="J48">
        <v>0</v>
      </c>
      <c r="K48">
        <v>1626.9</v>
      </c>
      <c r="L48" t="str">
        <f t="shared" si="0"/>
        <v xml:space="preserve">No_Discount </v>
      </c>
    </row>
    <row r="49" spans="1:12" x14ac:dyDescent="0.25">
      <c r="A49" t="s">
        <v>130</v>
      </c>
      <c r="B49" s="1">
        <v>45129</v>
      </c>
      <c r="C49" t="s">
        <v>131</v>
      </c>
      <c r="D49" t="s">
        <v>25</v>
      </c>
      <c r="E49" t="s">
        <v>20</v>
      </c>
      <c r="F49" t="s">
        <v>54</v>
      </c>
      <c r="G49" t="s">
        <v>55</v>
      </c>
      <c r="H49">
        <v>44</v>
      </c>
      <c r="I49">
        <v>502.17</v>
      </c>
      <c r="J49">
        <v>0.2</v>
      </c>
      <c r="K49">
        <v>17676.38</v>
      </c>
      <c r="L49" t="str">
        <f t="shared" si="0"/>
        <v xml:space="preserve">Medium </v>
      </c>
    </row>
    <row r="50" spans="1:12" x14ac:dyDescent="0.25">
      <c r="A50" t="s">
        <v>132</v>
      </c>
      <c r="B50" s="1">
        <v>44933</v>
      </c>
      <c r="C50" t="s">
        <v>133</v>
      </c>
      <c r="D50" t="s">
        <v>76</v>
      </c>
      <c r="E50" t="s">
        <v>20</v>
      </c>
      <c r="F50" t="s">
        <v>32</v>
      </c>
      <c r="G50" t="s">
        <v>22</v>
      </c>
      <c r="H50">
        <v>10</v>
      </c>
      <c r="I50">
        <v>49.55</v>
      </c>
      <c r="J50">
        <v>0</v>
      </c>
      <c r="K50">
        <v>495.5</v>
      </c>
      <c r="L50" t="str">
        <f t="shared" si="0"/>
        <v xml:space="preserve">No_Discount </v>
      </c>
    </row>
    <row r="51" spans="1:12" x14ac:dyDescent="0.25">
      <c r="A51" t="s">
        <v>134</v>
      </c>
      <c r="B51" s="1">
        <v>44929</v>
      </c>
      <c r="C51" t="s">
        <v>135</v>
      </c>
      <c r="D51" t="s">
        <v>53</v>
      </c>
      <c r="E51" t="s">
        <v>36</v>
      </c>
      <c r="F51" t="s">
        <v>15</v>
      </c>
      <c r="G51" t="s">
        <v>16</v>
      </c>
      <c r="H51">
        <v>19</v>
      </c>
      <c r="I51">
        <v>101.47</v>
      </c>
      <c r="J51">
        <v>0</v>
      </c>
      <c r="K51">
        <v>1927.93</v>
      </c>
      <c r="L51" t="str">
        <f t="shared" si="0"/>
        <v xml:space="preserve">No_Discount </v>
      </c>
    </row>
    <row r="52" spans="1:12" x14ac:dyDescent="0.25">
      <c r="A52" t="s">
        <v>136</v>
      </c>
      <c r="B52" s="1">
        <v>45279</v>
      </c>
      <c r="C52" t="s">
        <v>137</v>
      </c>
      <c r="D52" t="s">
        <v>76</v>
      </c>
      <c r="E52" t="s">
        <v>36</v>
      </c>
      <c r="F52" t="s">
        <v>82</v>
      </c>
      <c r="G52" t="s">
        <v>43</v>
      </c>
      <c r="H52">
        <v>11</v>
      </c>
      <c r="I52">
        <v>1322.07</v>
      </c>
      <c r="J52">
        <v>0</v>
      </c>
      <c r="K52">
        <v>14542.77</v>
      </c>
      <c r="L52" t="str">
        <f t="shared" si="0"/>
        <v xml:space="preserve">No_Discount </v>
      </c>
    </row>
    <row r="53" spans="1:12" x14ac:dyDescent="0.25">
      <c r="A53" t="s">
        <v>138</v>
      </c>
      <c r="B53" s="1">
        <v>44982</v>
      </c>
      <c r="C53" t="s">
        <v>139</v>
      </c>
      <c r="D53" t="s">
        <v>25</v>
      </c>
      <c r="E53" t="s">
        <v>36</v>
      </c>
      <c r="F53" t="s">
        <v>21</v>
      </c>
      <c r="G53" t="s">
        <v>22</v>
      </c>
      <c r="H53">
        <v>29</v>
      </c>
      <c r="I53">
        <v>87.09</v>
      </c>
      <c r="J53">
        <v>0</v>
      </c>
      <c r="K53">
        <v>2525.61</v>
      </c>
      <c r="L53" t="str">
        <f t="shared" si="0"/>
        <v xml:space="preserve">No_Discount </v>
      </c>
    </row>
    <row r="54" spans="1:12" x14ac:dyDescent="0.25">
      <c r="A54" t="s">
        <v>140</v>
      </c>
      <c r="B54" s="1">
        <v>45049</v>
      </c>
      <c r="C54" t="s">
        <v>141</v>
      </c>
      <c r="D54" t="s">
        <v>35</v>
      </c>
      <c r="E54" t="s">
        <v>20</v>
      </c>
      <c r="F54" t="s">
        <v>79</v>
      </c>
      <c r="G54" t="s">
        <v>22</v>
      </c>
      <c r="H54">
        <v>30</v>
      </c>
      <c r="I54">
        <v>36.78</v>
      </c>
      <c r="J54">
        <v>0</v>
      </c>
      <c r="K54">
        <v>1103.4000000000001</v>
      </c>
      <c r="L54" t="str">
        <f t="shared" si="0"/>
        <v xml:space="preserve">No_Discount </v>
      </c>
    </row>
    <row r="55" spans="1:12" x14ac:dyDescent="0.25">
      <c r="A55" t="s">
        <v>142</v>
      </c>
      <c r="B55" s="1">
        <v>45188</v>
      </c>
      <c r="C55" t="s">
        <v>143</v>
      </c>
      <c r="D55" t="s">
        <v>25</v>
      </c>
      <c r="E55" t="s">
        <v>60</v>
      </c>
      <c r="F55" t="s">
        <v>27</v>
      </c>
      <c r="G55" t="s">
        <v>28</v>
      </c>
      <c r="H55">
        <v>24</v>
      </c>
      <c r="I55">
        <v>123.4</v>
      </c>
      <c r="J55">
        <v>0.1</v>
      </c>
      <c r="K55">
        <v>2665.44</v>
      </c>
      <c r="L55" t="str">
        <f t="shared" si="0"/>
        <v xml:space="preserve">Low </v>
      </c>
    </row>
    <row r="56" spans="1:12" x14ac:dyDescent="0.25">
      <c r="A56" t="s">
        <v>144</v>
      </c>
      <c r="B56" s="1">
        <v>44981</v>
      </c>
      <c r="C56" t="s">
        <v>145</v>
      </c>
      <c r="D56" t="s">
        <v>50</v>
      </c>
      <c r="E56" t="s">
        <v>36</v>
      </c>
      <c r="F56" t="s">
        <v>27</v>
      </c>
      <c r="G56" t="s">
        <v>28</v>
      </c>
      <c r="H56">
        <v>4</v>
      </c>
      <c r="I56">
        <v>1254.9000000000001</v>
      </c>
      <c r="J56">
        <v>0.92</v>
      </c>
      <c r="K56">
        <v>401.57</v>
      </c>
      <c r="L56" t="str">
        <f t="shared" si="0"/>
        <v xml:space="preserve">High </v>
      </c>
    </row>
    <row r="57" spans="1:12" x14ac:dyDescent="0.25">
      <c r="A57" t="s">
        <v>146</v>
      </c>
      <c r="B57" s="1">
        <v>45148</v>
      </c>
      <c r="C57" t="s">
        <v>147</v>
      </c>
      <c r="D57" t="s">
        <v>50</v>
      </c>
      <c r="E57" t="s">
        <v>26</v>
      </c>
      <c r="F57" t="s">
        <v>42</v>
      </c>
      <c r="G57" t="s">
        <v>43</v>
      </c>
      <c r="H57">
        <v>6</v>
      </c>
      <c r="I57">
        <v>305.38</v>
      </c>
      <c r="J57">
        <v>0.2</v>
      </c>
      <c r="K57">
        <v>1465.82</v>
      </c>
      <c r="L57" t="str">
        <f t="shared" si="0"/>
        <v xml:space="preserve">Medium </v>
      </c>
    </row>
    <row r="58" spans="1:12" x14ac:dyDescent="0.25">
      <c r="A58" t="s">
        <v>148</v>
      </c>
      <c r="B58" s="1">
        <v>45078</v>
      </c>
      <c r="C58" t="s">
        <v>149</v>
      </c>
      <c r="D58" t="s">
        <v>67</v>
      </c>
      <c r="E58" t="s">
        <v>26</v>
      </c>
      <c r="F58" t="s">
        <v>54</v>
      </c>
      <c r="G58" t="s">
        <v>55</v>
      </c>
      <c r="H58">
        <v>9</v>
      </c>
      <c r="I58">
        <v>492.18</v>
      </c>
      <c r="J58">
        <v>0</v>
      </c>
      <c r="K58">
        <v>4429.62</v>
      </c>
      <c r="L58" t="str">
        <f t="shared" si="0"/>
        <v xml:space="preserve">No_Discount </v>
      </c>
    </row>
    <row r="59" spans="1:12" x14ac:dyDescent="0.25">
      <c r="A59" t="s">
        <v>150</v>
      </c>
      <c r="B59" s="1">
        <v>45067</v>
      </c>
      <c r="C59" t="s">
        <v>151</v>
      </c>
      <c r="D59" t="s">
        <v>50</v>
      </c>
      <c r="E59" t="s">
        <v>14</v>
      </c>
      <c r="F59" t="s">
        <v>32</v>
      </c>
      <c r="G59" t="s">
        <v>22</v>
      </c>
      <c r="H59">
        <v>42</v>
      </c>
      <c r="I59">
        <v>42.4</v>
      </c>
      <c r="J59">
        <v>0.05</v>
      </c>
      <c r="K59">
        <v>1691.76</v>
      </c>
      <c r="L59" t="str">
        <f t="shared" si="0"/>
        <v xml:space="preserve">Low </v>
      </c>
    </row>
    <row r="60" spans="1:12" x14ac:dyDescent="0.25">
      <c r="A60" t="s">
        <v>152</v>
      </c>
      <c r="B60" s="1">
        <v>45281</v>
      </c>
      <c r="C60" t="s">
        <v>41</v>
      </c>
      <c r="D60" t="s">
        <v>31</v>
      </c>
      <c r="E60" t="s">
        <v>20</v>
      </c>
      <c r="F60" t="s">
        <v>27</v>
      </c>
      <c r="G60" t="s">
        <v>28</v>
      </c>
      <c r="H60">
        <v>31</v>
      </c>
      <c r="I60">
        <v>110.21</v>
      </c>
      <c r="J60">
        <v>0</v>
      </c>
      <c r="K60">
        <v>3416.51</v>
      </c>
      <c r="L60" t="str">
        <f t="shared" si="0"/>
        <v xml:space="preserve">No_Discount </v>
      </c>
    </row>
    <row r="61" spans="1:12" x14ac:dyDescent="0.25">
      <c r="A61" t="s">
        <v>153</v>
      </c>
      <c r="B61" s="1">
        <v>45271</v>
      </c>
      <c r="C61" t="s">
        <v>154</v>
      </c>
      <c r="D61" t="s">
        <v>25</v>
      </c>
      <c r="E61" t="s">
        <v>36</v>
      </c>
      <c r="F61" t="s">
        <v>21</v>
      </c>
      <c r="G61" t="s">
        <v>22</v>
      </c>
      <c r="H61">
        <v>21</v>
      </c>
      <c r="I61">
        <v>864.9</v>
      </c>
      <c r="J61">
        <v>0.9</v>
      </c>
      <c r="K61">
        <v>1816.29</v>
      </c>
      <c r="L61" t="str">
        <f t="shared" si="0"/>
        <v xml:space="preserve">High </v>
      </c>
    </row>
    <row r="62" spans="1:12" x14ac:dyDescent="0.25">
      <c r="A62" t="s">
        <v>155</v>
      </c>
      <c r="B62" s="1">
        <v>44971</v>
      </c>
      <c r="C62" t="s">
        <v>156</v>
      </c>
      <c r="D62" t="s">
        <v>99</v>
      </c>
      <c r="E62" t="s">
        <v>60</v>
      </c>
      <c r="F62" t="s">
        <v>79</v>
      </c>
      <c r="G62" t="s">
        <v>22</v>
      </c>
      <c r="H62">
        <v>31</v>
      </c>
      <c r="I62">
        <v>31.65</v>
      </c>
      <c r="J62">
        <v>0.05</v>
      </c>
      <c r="K62">
        <v>932.09</v>
      </c>
      <c r="L62" t="str">
        <f t="shared" si="0"/>
        <v xml:space="preserve">Low </v>
      </c>
    </row>
    <row r="63" spans="1:12" x14ac:dyDescent="0.25">
      <c r="A63" t="s">
        <v>157</v>
      </c>
      <c r="B63" s="1">
        <v>45103</v>
      </c>
      <c r="C63" t="s">
        <v>158</v>
      </c>
      <c r="D63" t="s">
        <v>50</v>
      </c>
      <c r="E63" t="s">
        <v>60</v>
      </c>
      <c r="F63" t="s">
        <v>82</v>
      </c>
      <c r="G63" t="s">
        <v>43</v>
      </c>
      <c r="H63">
        <v>24</v>
      </c>
      <c r="I63">
        <v>1360.13</v>
      </c>
      <c r="J63">
        <v>0.2</v>
      </c>
      <c r="K63">
        <v>26114.5</v>
      </c>
      <c r="L63" t="str">
        <f t="shared" si="0"/>
        <v xml:space="preserve">Medium </v>
      </c>
    </row>
    <row r="64" spans="1:12" x14ac:dyDescent="0.25">
      <c r="A64" t="s">
        <v>159</v>
      </c>
      <c r="B64" s="1">
        <v>45215</v>
      </c>
      <c r="C64" t="s">
        <v>160</v>
      </c>
      <c r="D64" t="s">
        <v>76</v>
      </c>
      <c r="E64" t="s">
        <v>20</v>
      </c>
      <c r="F64" t="s">
        <v>21</v>
      </c>
      <c r="G64" t="s">
        <v>22</v>
      </c>
      <c r="H64">
        <v>50</v>
      </c>
      <c r="I64">
        <v>87.9</v>
      </c>
      <c r="J64">
        <v>0.2</v>
      </c>
      <c r="K64">
        <v>3516</v>
      </c>
      <c r="L64" t="str">
        <f t="shared" si="0"/>
        <v xml:space="preserve">Medium </v>
      </c>
    </row>
    <row r="65" spans="1:12" x14ac:dyDescent="0.25">
      <c r="A65" t="s">
        <v>161</v>
      </c>
      <c r="B65" s="1">
        <v>44993</v>
      </c>
      <c r="C65" t="s">
        <v>162</v>
      </c>
      <c r="D65" t="s">
        <v>31</v>
      </c>
      <c r="E65" t="s">
        <v>36</v>
      </c>
      <c r="F65" t="s">
        <v>32</v>
      </c>
      <c r="G65" t="s">
        <v>22</v>
      </c>
      <c r="H65">
        <v>35</v>
      </c>
      <c r="I65">
        <v>48.91</v>
      </c>
      <c r="J65">
        <v>0</v>
      </c>
      <c r="K65">
        <v>1711.85</v>
      </c>
      <c r="L65" t="str">
        <f t="shared" si="0"/>
        <v xml:space="preserve">No_Discount </v>
      </c>
    </row>
    <row r="66" spans="1:12" x14ac:dyDescent="0.25">
      <c r="A66" t="s">
        <v>163</v>
      </c>
      <c r="B66" s="1">
        <v>45013</v>
      </c>
      <c r="C66" t="s">
        <v>164</v>
      </c>
      <c r="D66" t="s">
        <v>19</v>
      </c>
      <c r="E66" t="s">
        <v>60</v>
      </c>
      <c r="F66" t="s">
        <v>32</v>
      </c>
      <c r="G66" t="s">
        <v>22</v>
      </c>
      <c r="H66">
        <v>12</v>
      </c>
      <c r="I66">
        <v>46.56</v>
      </c>
      <c r="J66">
        <v>0.15</v>
      </c>
      <c r="K66">
        <v>474.91</v>
      </c>
      <c r="L66" t="str">
        <f t="shared" ref="L66:L129" si="1">IF(J66=0, "No_Discount ", IF(J66&lt;=0.1, "Low ", IF(J66&lt;=0.2, "Medium ", "High ")))</f>
        <v xml:space="preserve">Medium </v>
      </c>
    </row>
    <row r="67" spans="1:12" x14ac:dyDescent="0.25">
      <c r="A67" t="s">
        <v>165</v>
      </c>
      <c r="B67" s="1">
        <v>45290</v>
      </c>
      <c r="C67" t="s">
        <v>166</v>
      </c>
      <c r="D67" t="s">
        <v>39</v>
      </c>
      <c r="E67" t="s">
        <v>14</v>
      </c>
      <c r="F67" t="s">
        <v>42</v>
      </c>
      <c r="G67" t="s">
        <v>43</v>
      </c>
      <c r="H67">
        <v>43</v>
      </c>
      <c r="I67">
        <v>327.94</v>
      </c>
      <c r="J67">
        <v>0.2</v>
      </c>
      <c r="K67">
        <v>11281.14</v>
      </c>
      <c r="L67" t="str">
        <f t="shared" si="1"/>
        <v xml:space="preserve">Medium </v>
      </c>
    </row>
    <row r="68" spans="1:12" x14ac:dyDescent="0.25">
      <c r="A68" t="s">
        <v>167</v>
      </c>
      <c r="B68" s="1">
        <v>44997</v>
      </c>
      <c r="C68" t="s">
        <v>168</v>
      </c>
      <c r="D68" t="s">
        <v>99</v>
      </c>
      <c r="E68" t="s">
        <v>26</v>
      </c>
      <c r="F68" t="s">
        <v>54</v>
      </c>
      <c r="G68" t="s">
        <v>55</v>
      </c>
      <c r="H68">
        <v>9</v>
      </c>
      <c r="I68">
        <v>510.43</v>
      </c>
      <c r="J68">
        <v>0</v>
      </c>
      <c r="K68">
        <v>4593.87</v>
      </c>
      <c r="L68" t="str">
        <f t="shared" si="1"/>
        <v xml:space="preserve">No_Discount </v>
      </c>
    </row>
    <row r="69" spans="1:12" x14ac:dyDescent="0.25">
      <c r="A69" t="s">
        <v>169</v>
      </c>
      <c r="B69" s="1">
        <v>45154</v>
      </c>
      <c r="C69" t="s">
        <v>170</v>
      </c>
      <c r="D69" t="s">
        <v>39</v>
      </c>
      <c r="E69" t="s">
        <v>20</v>
      </c>
      <c r="F69" t="s">
        <v>54</v>
      </c>
      <c r="G69" t="s">
        <v>55</v>
      </c>
      <c r="H69">
        <v>8</v>
      </c>
      <c r="I69">
        <v>477.37</v>
      </c>
      <c r="J69">
        <v>0.1</v>
      </c>
      <c r="K69">
        <v>3437.06</v>
      </c>
      <c r="L69" t="str">
        <f t="shared" si="1"/>
        <v xml:space="preserve">Low </v>
      </c>
    </row>
    <row r="70" spans="1:12" x14ac:dyDescent="0.25">
      <c r="A70" t="s">
        <v>171</v>
      </c>
      <c r="B70" s="1">
        <v>45193</v>
      </c>
      <c r="C70" t="s">
        <v>172</v>
      </c>
      <c r="D70" t="s">
        <v>67</v>
      </c>
      <c r="E70" t="s">
        <v>36</v>
      </c>
      <c r="F70" t="s">
        <v>15</v>
      </c>
      <c r="G70" t="s">
        <v>16</v>
      </c>
      <c r="H70">
        <v>37</v>
      </c>
      <c r="I70">
        <v>101.22</v>
      </c>
      <c r="J70">
        <v>0</v>
      </c>
      <c r="K70">
        <v>3745.14</v>
      </c>
      <c r="L70" t="str">
        <f t="shared" si="1"/>
        <v xml:space="preserve">No_Discount </v>
      </c>
    </row>
    <row r="71" spans="1:12" x14ac:dyDescent="0.25">
      <c r="A71" t="s">
        <v>173</v>
      </c>
      <c r="B71" s="1">
        <v>44930</v>
      </c>
      <c r="C71" t="s">
        <v>174</v>
      </c>
      <c r="D71" t="s">
        <v>13</v>
      </c>
      <c r="E71" t="s">
        <v>36</v>
      </c>
      <c r="F71" t="s">
        <v>82</v>
      </c>
      <c r="G71" t="s">
        <v>43</v>
      </c>
      <c r="H71">
        <v>9</v>
      </c>
      <c r="I71">
        <v>1376.73</v>
      </c>
      <c r="J71">
        <v>0.2</v>
      </c>
      <c r="K71">
        <v>9912.4599999999991</v>
      </c>
      <c r="L71" t="str">
        <f t="shared" si="1"/>
        <v xml:space="preserve">Medium </v>
      </c>
    </row>
    <row r="72" spans="1:12" x14ac:dyDescent="0.25">
      <c r="A72" t="s">
        <v>175</v>
      </c>
      <c r="B72" s="1">
        <v>44998</v>
      </c>
      <c r="C72" t="s">
        <v>176</v>
      </c>
      <c r="D72" t="s">
        <v>19</v>
      </c>
      <c r="E72" t="s">
        <v>26</v>
      </c>
      <c r="F72" t="s">
        <v>27</v>
      </c>
      <c r="G72" t="s">
        <v>28</v>
      </c>
      <c r="H72">
        <v>11</v>
      </c>
      <c r="I72">
        <v>123.97</v>
      </c>
      <c r="J72">
        <v>0.05</v>
      </c>
      <c r="K72">
        <v>1295.49</v>
      </c>
      <c r="L72" t="str">
        <f t="shared" si="1"/>
        <v xml:space="preserve">Low </v>
      </c>
    </row>
    <row r="73" spans="1:12" x14ac:dyDescent="0.25">
      <c r="A73" t="s">
        <v>177</v>
      </c>
      <c r="B73" s="1">
        <v>44954</v>
      </c>
      <c r="C73" t="s">
        <v>178</v>
      </c>
      <c r="D73" t="s">
        <v>19</v>
      </c>
      <c r="E73" t="s">
        <v>36</v>
      </c>
      <c r="F73" t="s">
        <v>27</v>
      </c>
      <c r="G73" t="s">
        <v>28</v>
      </c>
      <c r="H73">
        <v>36</v>
      </c>
      <c r="I73">
        <v>133.19</v>
      </c>
      <c r="J73">
        <v>0.2</v>
      </c>
      <c r="K73">
        <v>3835.87</v>
      </c>
      <c r="L73" t="str">
        <f t="shared" si="1"/>
        <v xml:space="preserve">Medium </v>
      </c>
    </row>
    <row r="74" spans="1:12" x14ac:dyDescent="0.25">
      <c r="A74" t="s">
        <v>179</v>
      </c>
      <c r="B74" s="1">
        <v>45015</v>
      </c>
      <c r="C74" t="s">
        <v>180</v>
      </c>
      <c r="D74" t="s">
        <v>35</v>
      </c>
      <c r="E74" t="s">
        <v>60</v>
      </c>
      <c r="F74" t="s">
        <v>79</v>
      </c>
      <c r="G74" t="s">
        <v>22</v>
      </c>
      <c r="H74">
        <v>21</v>
      </c>
      <c r="I74">
        <v>38.29</v>
      </c>
      <c r="J74">
        <v>0</v>
      </c>
      <c r="K74">
        <v>804.09</v>
      </c>
      <c r="L74" t="str">
        <f t="shared" si="1"/>
        <v xml:space="preserve">No_Discount </v>
      </c>
    </row>
    <row r="75" spans="1:12" x14ac:dyDescent="0.25">
      <c r="A75" t="s">
        <v>181</v>
      </c>
      <c r="B75" s="1">
        <v>45151</v>
      </c>
      <c r="C75" t="s">
        <v>182</v>
      </c>
      <c r="D75" t="s">
        <v>39</v>
      </c>
      <c r="E75" t="s">
        <v>26</v>
      </c>
      <c r="F75" t="s">
        <v>32</v>
      </c>
      <c r="G75" t="s">
        <v>22</v>
      </c>
      <c r="H75">
        <v>42</v>
      </c>
      <c r="I75">
        <v>43.29</v>
      </c>
      <c r="J75">
        <v>0.1</v>
      </c>
      <c r="K75">
        <v>1636.36</v>
      </c>
      <c r="L75" t="str">
        <f t="shared" si="1"/>
        <v xml:space="preserve">Low </v>
      </c>
    </row>
    <row r="76" spans="1:12" x14ac:dyDescent="0.25">
      <c r="A76" t="s">
        <v>183</v>
      </c>
      <c r="B76" s="1">
        <v>44998</v>
      </c>
      <c r="C76" t="s">
        <v>184</v>
      </c>
      <c r="D76" t="s">
        <v>19</v>
      </c>
      <c r="E76" t="s">
        <v>60</v>
      </c>
      <c r="F76" t="s">
        <v>21</v>
      </c>
      <c r="G76" t="s">
        <v>22</v>
      </c>
      <c r="H76">
        <v>34</v>
      </c>
      <c r="I76">
        <v>84.31</v>
      </c>
      <c r="J76">
        <v>0</v>
      </c>
      <c r="K76">
        <v>2866.54</v>
      </c>
      <c r="L76" t="str">
        <f t="shared" si="1"/>
        <v xml:space="preserve">No_Discount </v>
      </c>
    </row>
    <row r="77" spans="1:12" x14ac:dyDescent="0.25">
      <c r="A77" t="s">
        <v>185</v>
      </c>
      <c r="B77" s="1">
        <v>45155</v>
      </c>
      <c r="C77" t="s">
        <v>186</v>
      </c>
      <c r="D77" t="s">
        <v>53</v>
      </c>
      <c r="E77" t="s">
        <v>14</v>
      </c>
      <c r="F77" t="s">
        <v>21</v>
      </c>
      <c r="G77" t="s">
        <v>22</v>
      </c>
      <c r="H77">
        <v>39</v>
      </c>
      <c r="I77">
        <v>88.33</v>
      </c>
      <c r="J77">
        <v>0</v>
      </c>
      <c r="K77">
        <v>3444.87</v>
      </c>
      <c r="L77" t="str">
        <f t="shared" si="1"/>
        <v xml:space="preserve">No_Discount </v>
      </c>
    </row>
    <row r="78" spans="1:12" x14ac:dyDescent="0.25">
      <c r="A78" t="s">
        <v>187</v>
      </c>
      <c r="B78" s="1">
        <v>45134</v>
      </c>
      <c r="C78" t="s">
        <v>188</v>
      </c>
      <c r="D78" t="s">
        <v>19</v>
      </c>
      <c r="E78" t="s">
        <v>60</v>
      </c>
      <c r="F78" t="s">
        <v>42</v>
      </c>
      <c r="G78" t="s">
        <v>43</v>
      </c>
      <c r="H78">
        <v>50</v>
      </c>
      <c r="I78">
        <v>363.62</v>
      </c>
      <c r="J78">
        <v>0.2</v>
      </c>
      <c r="K78">
        <v>14544.8</v>
      </c>
      <c r="L78" t="str">
        <f t="shared" si="1"/>
        <v xml:space="preserve">Medium </v>
      </c>
    </row>
    <row r="79" spans="1:12" x14ac:dyDescent="0.25">
      <c r="A79" t="s">
        <v>189</v>
      </c>
      <c r="B79" s="1">
        <v>45042</v>
      </c>
      <c r="C79" t="s">
        <v>190</v>
      </c>
      <c r="D79" t="s">
        <v>25</v>
      </c>
      <c r="E79" t="s">
        <v>14</v>
      </c>
      <c r="F79" t="s">
        <v>42</v>
      </c>
      <c r="G79" t="s">
        <v>43</v>
      </c>
      <c r="H79">
        <v>40</v>
      </c>
      <c r="I79">
        <v>334.21</v>
      </c>
      <c r="J79">
        <v>0</v>
      </c>
      <c r="K79">
        <v>13368.4</v>
      </c>
      <c r="L79" t="str">
        <f t="shared" si="1"/>
        <v xml:space="preserve">No_Discount </v>
      </c>
    </row>
    <row r="80" spans="1:12" x14ac:dyDescent="0.25">
      <c r="A80" t="s">
        <v>191</v>
      </c>
      <c r="B80" s="1">
        <v>45273</v>
      </c>
      <c r="C80" t="s">
        <v>192</v>
      </c>
      <c r="D80" t="s">
        <v>50</v>
      </c>
      <c r="E80" t="s">
        <v>20</v>
      </c>
      <c r="F80" t="s">
        <v>42</v>
      </c>
      <c r="G80" t="s">
        <v>43</v>
      </c>
      <c r="H80">
        <v>17</v>
      </c>
      <c r="I80">
        <v>310.05</v>
      </c>
      <c r="J80">
        <v>0</v>
      </c>
      <c r="K80">
        <v>5270.85</v>
      </c>
      <c r="L80" t="str">
        <f t="shared" si="1"/>
        <v xml:space="preserve">No_Discount </v>
      </c>
    </row>
    <row r="81" spans="1:12" x14ac:dyDescent="0.25">
      <c r="A81" t="s">
        <v>193</v>
      </c>
      <c r="B81" s="1">
        <v>45121</v>
      </c>
      <c r="C81" t="s">
        <v>194</v>
      </c>
      <c r="D81" t="s">
        <v>50</v>
      </c>
      <c r="E81" t="s">
        <v>20</v>
      </c>
      <c r="F81" t="s">
        <v>54</v>
      </c>
      <c r="G81" t="s">
        <v>55</v>
      </c>
      <c r="H81">
        <v>40</v>
      </c>
      <c r="I81">
        <v>461.86</v>
      </c>
      <c r="J81">
        <v>0</v>
      </c>
      <c r="K81">
        <v>18474.400000000001</v>
      </c>
      <c r="L81" t="str">
        <f t="shared" si="1"/>
        <v xml:space="preserve">No_Discount </v>
      </c>
    </row>
    <row r="82" spans="1:12" x14ac:dyDescent="0.25">
      <c r="A82" t="s">
        <v>195</v>
      </c>
      <c r="B82" s="1">
        <v>44985</v>
      </c>
      <c r="C82" t="s">
        <v>196</v>
      </c>
      <c r="D82" t="s">
        <v>19</v>
      </c>
      <c r="E82" t="s">
        <v>60</v>
      </c>
      <c r="F82" t="s">
        <v>82</v>
      </c>
      <c r="G82" t="s">
        <v>43</v>
      </c>
      <c r="H82">
        <v>26</v>
      </c>
      <c r="I82">
        <v>1250.33</v>
      </c>
      <c r="J82">
        <v>0.05</v>
      </c>
      <c r="K82">
        <v>30883.15</v>
      </c>
      <c r="L82" t="str">
        <f t="shared" si="1"/>
        <v xml:space="preserve">Low </v>
      </c>
    </row>
    <row r="83" spans="1:12" x14ac:dyDescent="0.25">
      <c r="A83" t="s">
        <v>197</v>
      </c>
      <c r="B83" s="1">
        <v>45217</v>
      </c>
      <c r="C83" t="s">
        <v>198</v>
      </c>
      <c r="D83" t="s">
        <v>19</v>
      </c>
      <c r="E83" t="s">
        <v>14</v>
      </c>
      <c r="F83" t="s">
        <v>79</v>
      </c>
      <c r="G83" t="s">
        <v>22</v>
      </c>
      <c r="H83">
        <v>13</v>
      </c>
      <c r="I83">
        <v>35.909999999999997</v>
      </c>
      <c r="J83">
        <v>0.1</v>
      </c>
      <c r="K83">
        <v>420.15</v>
      </c>
      <c r="L83" t="str">
        <f t="shared" si="1"/>
        <v xml:space="preserve">Low </v>
      </c>
    </row>
    <row r="84" spans="1:12" x14ac:dyDescent="0.25">
      <c r="A84" t="s">
        <v>199</v>
      </c>
      <c r="B84" s="1">
        <v>45204</v>
      </c>
      <c r="C84" t="s">
        <v>200</v>
      </c>
      <c r="D84" t="s">
        <v>53</v>
      </c>
      <c r="E84" t="s">
        <v>36</v>
      </c>
      <c r="F84" t="s">
        <v>79</v>
      </c>
      <c r="G84" t="s">
        <v>22</v>
      </c>
      <c r="H84">
        <v>42</v>
      </c>
      <c r="I84">
        <v>31.58</v>
      </c>
      <c r="J84">
        <v>0</v>
      </c>
      <c r="K84">
        <v>1326.36</v>
      </c>
      <c r="L84" t="str">
        <f t="shared" si="1"/>
        <v xml:space="preserve">No_Discount </v>
      </c>
    </row>
    <row r="85" spans="1:12" x14ac:dyDescent="0.25">
      <c r="A85" t="s">
        <v>201</v>
      </c>
      <c r="B85" s="1">
        <v>45111</v>
      </c>
      <c r="C85" t="s">
        <v>202</v>
      </c>
      <c r="D85" t="s">
        <v>31</v>
      </c>
      <c r="E85" t="s">
        <v>26</v>
      </c>
      <c r="F85" t="s">
        <v>21</v>
      </c>
      <c r="G85" t="s">
        <v>22</v>
      </c>
      <c r="H85">
        <v>7</v>
      </c>
      <c r="I85">
        <v>82.98</v>
      </c>
      <c r="J85">
        <v>0.15</v>
      </c>
      <c r="K85">
        <v>493.73</v>
      </c>
      <c r="L85" t="str">
        <f t="shared" si="1"/>
        <v xml:space="preserve">Medium </v>
      </c>
    </row>
    <row r="86" spans="1:12" x14ac:dyDescent="0.25">
      <c r="A86" t="s">
        <v>203</v>
      </c>
      <c r="B86" s="1">
        <v>45182</v>
      </c>
      <c r="C86" t="s">
        <v>204</v>
      </c>
      <c r="D86" t="s">
        <v>67</v>
      </c>
      <c r="E86" t="s">
        <v>26</v>
      </c>
      <c r="F86" t="s">
        <v>32</v>
      </c>
      <c r="G86" t="s">
        <v>22</v>
      </c>
      <c r="H86">
        <v>26</v>
      </c>
      <c r="I86">
        <v>48.63</v>
      </c>
      <c r="J86">
        <v>0.05</v>
      </c>
      <c r="K86">
        <v>1201.1600000000001</v>
      </c>
      <c r="L86" t="str">
        <f t="shared" si="1"/>
        <v xml:space="preserve">Low </v>
      </c>
    </row>
    <row r="87" spans="1:12" x14ac:dyDescent="0.25">
      <c r="A87" t="s">
        <v>205</v>
      </c>
      <c r="B87" s="1">
        <v>45034</v>
      </c>
      <c r="C87" t="s">
        <v>206</v>
      </c>
      <c r="D87" t="s">
        <v>31</v>
      </c>
      <c r="E87" t="s">
        <v>36</v>
      </c>
      <c r="F87" t="s">
        <v>54</v>
      </c>
      <c r="G87" t="s">
        <v>55</v>
      </c>
      <c r="H87">
        <v>4</v>
      </c>
      <c r="I87">
        <v>441.41</v>
      </c>
      <c r="J87">
        <v>0</v>
      </c>
      <c r="K87">
        <v>1765.64</v>
      </c>
      <c r="L87" t="str">
        <f t="shared" si="1"/>
        <v xml:space="preserve">No_Discount </v>
      </c>
    </row>
    <row r="88" spans="1:12" x14ac:dyDescent="0.25">
      <c r="A88" t="s">
        <v>207</v>
      </c>
      <c r="B88" s="1">
        <v>44965</v>
      </c>
      <c r="C88" t="s">
        <v>208</v>
      </c>
      <c r="D88" t="s">
        <v>31</v>
      </c>
      <c r="E88" t="s">
        <v>60</v>
      </c>
      <c r="F88" t="s">
        <v>15</v>
      </c>
      <c r="G88" t="s">
        <v>16</v>
      </c>
      <c r="H88">
        <v>29</v>
      </c>
      <c r="I88">
        <v>101.66</v>
      </c>
      <c r="J88">
        <v>0.15</v>
      </c>
      <c r="K88">
        <v>2505.92</v>
      </c>
      <c r="L88" t="str">
        <f t="shared" si="1"/>
        <v xml:space="preserve">Medium </v>
      </c>
    </row>
    <row r="89" spans="1:12" x14ac:dyDescent="0.25">
      <c r="A89" t="s">
        <v>209</v>
      </c>
      <c r="B89" s="1">
        <v>45208</v>
      </c>
      <c r="C89" t="s">
        <v>210</v>
      </c>
      <c r="D89" t="s">
        <v>39</v>
      </c>
      <c r="E89" t="s">
        <v>20</v>
      </c>
      <c r="F89" t="s">
        <v>27</v>
      </c>
      <c r="G89" t="s">
        <v>28</v>
      </c>
      <c r="H89">
        <v>27</v>
      </c>
      <c r="I89">
        <v>133.4</v>
      </c>
      <c r="J89">
        <v>0.05</v>
      </c>
      <c r="K89">
        <v>3421.71</v>
      </c>
      <c r="L89" t="str">
        <f t="shared" si="1"/>
        <v xml:space="preserve">Low </v>
      </c>
    </row>
    <row r="90" spans="1:12" x14ac:dyDescent="0.25">
      <c r="A90" t="s">
        <v>211</v>
      </c>
      <c r="B90" s="1">
        <v>44961</v>
      </c>
      <c r="C90" t="s">
        <v>212</v>
      </c>
      <c r="D90" t="s">
        <v>39</v>
      </c>
      <c r="E90" t="s">
        <v>26</v>
      </c>
      <c r="F90" t="s">
        <v>27</v>
      </c>
      <c r="G90" t="s">
        <v>28</v>
      </c>
      <c r="H90">
        <v>14</v>
      </c>
      <c r="I90">
        <v>117.38</v>
      </c>
      <c r="J90">
        <v>0.1</v>
      </c>
      <c r="K90">
        <v>1478.99</v>
      </c>
      <c r="L90" t="str">
        <f t="shared" si="1"/>
        <v xml:space="preserve">Low </v>
      </c>
    </row>
    <row r="91" spans="1:12" x14ac:dyDescent="0.25">
      <c r="A91" t="s">
        <v>213</v>
      </c>
      <c r="B91" s="1">
        <v>45070</v>
      </c>
      <c r="C91" t="s">
        <v>111</v>
      </c>
      <c r="D91" t="s">
        <v>53</v>
      </c>
      <c r="E91" t="s">
        <v>60</v>
      </c>
      <c r="F91" t="s">
        <v>27</v>
      </c>
      <c r="G91" t="s">
        <v>28</v>
      </c>
      <c r="H91">
        <v>50</v>
      </c>
      <c r="I91">
        <v>137.25</v>
      </c>
      <c r="J91">
        <v>0</v>
      </c>
      <c r="K91">
        <v>6862.5</v>
      </c>
      <c r="L91" t="str">
        <f t="shared" si="1"/>
        <v xml:space="preserve">No_Discount </v>
      </c>
    </row>
    <row r="92" spans="1:12" x14ac:dyDescent="0.25">
      <c r="A92" t="s">
        <v>214</v>
      </c>
      <c r="B92" s="1">
        <v>45287</v>
      </c>
      <c r="C92" t="s">
        <v>215</v>
      </c>
      <c r="D92" t="s">
        <v>39</v>
      </c>
      <c r="E92" t="s">
        <v>26</v>
      </c>
      <c r="F92" t="s">
        <v>42</v>
      </c>
      <c r="G92" t="s">
        <v>43</v>
      </c>
      <c r="H92">
        <v>20</v>
      </c>
      <c r="I92">
        <v>313.64999999999998</v>
      </c>
      <c r="J92">
        <v>0.2</v>
      </c>
      <c r="K92">
        <v>5018.3999999999996</v>
      </c>
      <c r="L92" t="str">
        <f t="shared" si="1"/>
        <v xml:space="preserve">Medium </v>
      </c>
    </row>
    <row r="93" spans="1:12" x14ac:dyDescent="0.25">
      <c r="A93" t="s">
        <v>216</v>
      </c>
      <c r="B93" s="1">
        <v>45225</v>
      </c>
      <c r="C93" t="s">
        <v>217</v>
      </c>
      <c r="D93" t="s">
        <v>39</v>
      </c>
      <c r="E93" t="s">
        <v>26</v>
      </c>
      <c r="F93" t="s">
        <v>32</v>
      </c>
      <c r="G93" t="s">
        <v>22</v>
      </c>
      <c r="H93">
        <v>28</v>
      </c>
      <c r="I93">
        <v>43.82</v>
      </c>
      <c r="J93">
        <v>0</v>
      </c>
      <c r="K93">
        <v>1226.96</v>
      </c>
      <c r="L93" t="str">
        <f t="shared" si="1"/>
        <v xml:space="preserve">No_Discount </v>
      </c>
    </row>
    <row r="94" spans="1:12" x14ac:dyDescent="0.25">
      <c r="A94" t="s">
        <v>218</v>
      </c>
      <c r="B94" s="1">
        <v>45281</v>
      </c>
      <c r="C94" t="s">
        <v>219</v>
      </c>
      <c r="D94" t="s">
        <v>39</v>
      </c>
      <c r="E94" t="s">
        <v>26</v>
      </c>
      <c r="F94" t="s">
        <v>54</v>
      </c>
      <c r="G94" t="s">
        <v>55</v>
      </c>
      <c r="H94">
        <v>12</v>
      </c>
      <c r="I94">
        <v>422.23</v>
      </c>
      <c r="J94">
        <v>0.2</v>
      </c>
      <c r="K94">
        <v>4053.41</v>
      </c>
      <c r="L94" t="str">
        <f t="shared" si="1"/>
        <v xml:space="preserve">Medium </v>
      </c>
    </row>
    <row r="95" spans="1:12" x14ac:dyDescent="0.25">
      <c r="A95" t="s">
        <v>220</v>
      </c>
      <c r="B95" s="1">
        <v>45228</v>
      </c>
      <c r="C95" t="s">
        <v>221</v>
      </c>
      <c r="D95" t="s">
        <v>31</v>
      </c>
      <c r="E95" t="s">
        <v>26</v>
      </c>
      <c r="F95" t="s">
        <v>21</v>
      </c>
      <c r="G95" t="s">
        <v>22</v>
      </c>
      <c r="H95">
        <v>5</v>
      </c>
      <c r="I95">
        <v>73.28</v>
      </c>
      <c r="J95">
        <v>0</v>
      </c>
      <c r="K95">
        <v>366.4</v>
      </c>
      <c r="L95" t="str">
        <f t="shared" si="1"/>
        <v xml:space="preserve">No_Discount </v>
      </c>
    </row>
    <row r="96" spans="1:12" x14ac:dyDescent="0.25">
      <c r="A96" t="s">
        <v>222</v>
      </c>
      <c r="B96" s="1">
        <v>45215</v>
      </c>
      <c r="C96" t="s">
        <v>223</v>
      </c>
      <c r="D96" t="s">
        <v>25</v>
      </c>
      <c r="E96" t="s">
        <v>26</v>
      </c>
      <c r="F96" t="s">
        <v>54</v>
      </c>
      <c r="G96" t="s">
        <v>55</v>
      </c>
      <c r="H96">
        <v>36</v>
      </c>
      <c r="I96">
        <v>441.9</v>
      </c>
      <c r="J96">
        <v>0</v>
      </c>
      <c r="K96">
        <v>15908.4</v>
      </c>
      <c r="L96" t="str">
        <f t="shared" si="1"/>
        <v xml:space="preserve">No_Discount </v>
      </c>
    </row>
    <row r="97" spans="1:12" x14ac:dyDescent="0.25">
      <c r="A97" t="s">
        <v>224</v>
      </c>
      <c r="B97" s="1">
        <v>45180</v>
      </c>
      <c r="C97" t="s">
        <v>41</v>
      </c>
      <c r="D97" t="s">
        <v>31</v>
      </c>
      <c r="E97" t="s">
        <v>36</v>
      </c>
      <c r="F97" t="s">
        <v>15</v>
      </c>
      <c r="G97" t="s">
        <v>16</v>
      </c>
      <c r="H97">
        <v>37</v>
      </c>
      <c r="I97">
        <v>86.3</v>
      </c>
      <c r="J97">
        <v>0.2</v>
      </c>
      <c r="K97">
        <v>2554.48</v>
      </c>
      <c r="L97" t="str">
        <f t="shared" si="1"/>
        <v xml:space="preserve">Medium </v>
      </c>
    </row>
    <row r="98" spans="1:12" x14ac:dyDescent="0.25">
      <c r="A98" t="s">
        <v>225</v>
      </c>
      <c r="B98" s="1">
        <v>45288</v>
      </c>
      <c r="C98" t="s">
        <v>226</v>
      </c>
      <c r="D98" t="s">
        <v>35</v>
      </c>
      <c r="E98" t="s">
        <v>26</v>
      </c>
      <c r="F98" t="s">
        <v>54</v>
      </c>
      <c r="G98" t="s">
        <v>55</v>
      </c>
      <c r="H98">
        <v>50</v>
      </c>
      <c r="I98">
        <v>427.88</v>
      </c>
      <c r="J98">
        <v>0.15</v>
      </c>
      <c r="K98">
        <v>18184.900000000001</v>
      </c>
      <c r="L98" t="str">
        <f t="shared" si="1"/>
        <v xml:space="preserve">Medium </v>
      </c>
    </row>
    <row r="99" spans="1:12" x14ac:dyDescent="0.25">
      <c r="A99" t="s">
        <v>227</v>
      </c>
      <c r="B99" s="1">
        <v>45282</v>
      </c>
      <c r="C99" t="s">
        <v>228</v>
      </c>
      <c r="D99" t="s">
        <v>50</v>
      </c>
      <c r="E99" t="s">
        <v>14</v>
      </c>
      <c r="F99" t="s">
        <v>42</v>
      </c>
      <c r="G99" t="s">
        <v>43</v>
      </c>
      <c r="H99">
        <v>50</v>
      </c>
      <c r="I99">
        <v>332.71</v>
      </c>
      <c r="J99">
        <v>0.1</v>
      </c>
      <c r="K99">
        <v>14971.95</v>
      </c>
      <c r="L99" t="str">
        <f t="shared" si="1"/>
        <v xml:space="preserve">Low </v>
      </c>
    </row>
    <row r="100" spans="1:12" x14ac:dyDescent="0.25">
      <c r="A100" t="s">
        <v>229</v>
      </c>
      <c r="B100" s="1">
        <v>45231</v>
      </c>
      <c r="C100" t="s">
        <v>38</v>
      </c>
      <c r="D100" t="s">
        <v>35</v>
      </c>
      <c r="E100" t="s">
        <v>20</v>
      </c>
      <c r="F100" t="s">
        <v>21</v>
      </c>
      <c r="G100" t="s">
        <v>22</v>
      </c>
      <c r="H100">
        <v>42</v>
      </c>
      <c r="I100">
        <v>90.73</v>
      </c>
      <c r="J100">
        <v>0</v>
      </c>
      <c r="K100">
        <v>3810.66</v>
      </c>
      <c r="L100" t="str">
        <f t="shared" si="1"/>
        <v xml:space="preserve">No_Discount </v>
      </c>
    </row>
    <row r="101" spans="1:12" x14ac:dyDescent="0.25">
      <c r="A101" t="s">
        <v>230</v>
      </c>
      <c r="B101" s="1">
        <v>45096</v>
      </c>
      <c r="C101" t="s">
        <v>231</v>
      </c>
      <c r="D101" t="s">
        <v>76</v>
      </c>
      <c r="E101" t="s">
        <v>26</v>
      </c>
      <c r="F101" t="s">
        <v>79</v>
      </c>
      <c r="G101" t="s">
        <v>22</v>
      </c>
      <c r="H101">
        <v>6</v>
      </c>
      <c r="I101">
        <v>34.44</v>
      </c>
      <c r="J101">
        <v>0.2</v>
      </c>
      <c r="K101">
        <v>165.31</v>
      </c>
      <c r="L101" t="str">
        <f t="shared" si="1"/>
        <v xml:space="preserve">Medium </v>
      </c>
    </row>
    <row r="102" spans="1:12" x14ac:dyDescent="0.25">
      <c r="A102" t="s">
        <v>232</v>
      </c>
      <c r="B102" s="1">
        <v>45019</v>
      </c>
      <c r="C102" t="s">
        <v>233</v>
      </c>
      <c r="D102" t="s">
        <v>50</v>
      </c>
      <c r="E102" t="s">
        <v>20</v>
      </c>
      <c r="F102" t="s">
        <v>54</v>
      </c>
      <c r="G102" t="s">
        <v>55</v>
      </c>
      <c r="H102">
        <v>49</v>
      </c>
      <c r="I102">
        <v>498.04</v>
      </c>
      <c r="J102">
        <v>0</v>
      </c>
      <c r="K102">
        <v>24403.96</v>
      </c>
      <c r="L102" t="str">
        <f t="shared" si="1"/>
        <v xml:space="preserve">No_Discount </v>
      </c>
    </row>
    <row r="103" spans="1:12" x14ac:dyDescent="0.25">
      <c r="A103" t="s">
        <v>234</v>
      </c>
      <c r="B103" s="1">
        <v>44938</v>
      </c>
      <c r="C103" t="s">
        <v>235</v>
      </c>
      <c r="D103" t="s">
        <v>53</v>
      </c>
      <c r="E103" t="s">
        <v>14</v>
      </c>
      <c r="F103" t="s">
        <v>32</v>
      </c>
      <c r="G103" t="s">
        <v>22</v>
      </c>
      <c r="H103">
        <v>10</v>
      </c>
      <c r="I103">
        <v>46.29</v>
      </c>
      <c r="J103">
        <v>0</v>
      </c>
      <c r="K103">
        <v>462.9</v>
      </c>
      <c r="L103" t="str">
        <f t="shared" si="1"/>
        <v xml:space="preserve">No_Discount </v>
      </c>
    </row>
    <row r="104" spans="1:12" x14ac:dyDescent="0.25">
      <c r="A104" t="s">
        <v>236</v>
      </c>
      <c r="B104" s="1">
        <v>45185</v>
      </c>
      <c r="C104" t="s">
        <v>237</v>
      </c>
      <c r="D104" t="s">
        <v>25</v>
      </c>
      <c r="E104" t="s">
        <v>26</v>
      </c>
      <c r="F104" t="s">
        <v>27</v>
      </c>
      <c r="G104" t="s">
        <v>28</v>
      </c>
      <c r="H104">
        <v>33</v>
      </c>
      <c r="I104">
        <v>136.04</v>
      </c>
      <c r="J104">
        <v>0</v>
      </c>
      <c r="K104">
        <v>4489.32</v>
      </c>
      <c r="L104" t="str">
        <f t="shared" si="1"/>
        <v xml:space="preserve">No_Discount </v>
      </c>
    </row>
    <row r="105" spans="1:12" x14ac:dyDescent="0.25">
      <c r="A105" t="s">
        <v>238</v>
      </c>
      <c r="B105" s="1">
        <v>45147</v>
      </c>
      <c r="C105" t="s">
        <v>239</v>
      </c>
      <c r="D105" t="s">
        <v>67</v>
      </c>
      <c r="E105" t="s">
        <v>20</v>
      </c>
      <c r="F105" t="s">
        <v>54</v>
      </c>
      <c r="G105" t="s">
        <v>55</v>
      </c>
      <c r="H105">
        <v>35</v>
      </c>
      <c r="I105">
        <v>449.66</v>
      </c>
      <c r="J105">
        <v>0</v>
      </c>
      <c r="K105">
        <v>15738.1</v>
      </c>
      <c r="L105" t="str">
        <f t="shared" si="1"/>
        <v xml:space="preserve">No_Discount </v>
      </c>
    </row>
    <row r="106" spans="1:12" x14ac:dyDescent="0.25">
      <c r="A106" t="s">
        <v>240</v>
      </c>
      <c r="B106" s="1">
        <v>45005</v>
      </c>
      <c r="C106" t="s">
        <v>69</v>
      </c>
      <c r="D106" t="s">
        <v>67</v>
      </c>
      <c r="E106" t="s">
        <v>26</v>
      </c>
      <c r="F106" t="s">
        <v>21</v>
      </c>
      <c r="G106" t="s">
        <v>22</v>
      </c>
      <c r="H106">
        <v>40</v>
      </c>
      <c r="I106">
        <v>74.760000000000005</v>
      </c>
      <c r="J106">
        <v>0.2</v>
      </c>
      <c r="K106">
        <v>2392.3200000000002</v>
      </c>
      <c r="L106" t="str">
        <f t="shared" si="1"/>
        <v xml:space="preserve">Medium </v>
      </c>
    </row>
    <row r="107" spans="1:12" x14ac:dyDescent="0.25">
      <c r="A107" t="s">
        <v>241</v>
      </c>
      <c r="B107" s="1">
        <v>45010</v>
      </c>
      <c r="C107" t="s">
        <v>242</v>
      </c>
      <c r="D107" t="s">
        <v>13</v>
      </c>
      <c r="E107" t="s">
        <v>14</v>
      </c>
      <c r="F107" t="s">
        <v>27</v>
      </c>
      <c r="G107" t="s">
        <v>28</v>
      </c>
      <c r="H107">
        <v>24</v>
      </c>
      <c r="I107">
        <v>123.47</v>
      </c>
      <c r="J107">
        <v>0</v>
      </c>
      <c r="K107">
        <v>2963.28</v>
      </c>
      <c r="L107" t="str">
        <f t="shared" si="1"/>
        <v xml:space="preserve">No_Discount </v>
      </c>
    </row>
    <row r="108" spans="1:12" x14ac:dyDescent="0.25">
      <c r="A108" t="s">
        <v>243</v>
      </c>
      <c r="B108" s="1">
        <v>45177</v>
      </c>
      <c r="C108" t="s">
        <v>244</v>
      </c>
      <c r="D108" t="s">
        <v>50</v>
      </c>
      <c r="E108" t="s">
        <v>60</v>
      </c>
      <c r="F108" t="s">
        <v>32</v>
      </c>
      <c r="G108" t="s">
        <v>22</v>
      </c>
      <c r="H108">
        <v>47</v>
      </c>
      <c r="I108">
        <v>48.2</v>
      </c>
      <c r="J108">
        <v>0.15</v>
      </c>
      <c r="K108">
        <v>1925.59</v>
      </c>
      <c r="L108" t="str">
        <f t="shared" si="1"/>
        <v xml:space="preserve">Medium </v>
      </c>
    </row>
    <row r="109" spans="1:12" x14ac:dyDescent="0.25">
      <c r="A109" t="s">
        <v>245</v>
      </c>
      <c r="B109" s="1">
        <v>44970</v>
      </c>
      <c r="C109" t="s">
        <v>115</v>
      </c>
      <c r="D109" t="s">
        <v>50</v>
      </c>
      <c r="E109" t="s">
        <v>36</v>
      </c>
      <c r="F109" t="s">
        <v>32</v>
      </c>
      <c r="G109" t="s">
        <v>22</v>
      </c>
      <c r="H109">
        <v>40</v>
      </c>
      <c r="I109">
        <v>44.4</v>
      </c>
      <c r="J109">
        <v>0</v>
      </c>
      <c r="K109">
        <v>1776</v>
      </c>
      <c r="L109" t="str">
        <f t="shared" si="1"/>
        <v xml:space="preserve">No_Discount </v>
      </c>
    </row>
    <row r="110" spans="1:12" x14ac:dyDescent="0.25">
      <c r="A110" t="s">
        <v>246</v>
      </c>
      <c r="B110" s="1">
        <v>45156</v>
      </c>
      <c r="C110" t="s">
        <v>202</v>
      </c>
      <c r="D110" t="s">
        <v>67</v>
      </c>
      <c r="E110" t="s">
        <v>20</v>
      </c>
      <c r="F110" t="s">
        <v>79</v>
      </c>
      <c r="G110" t="s">
        <v>22</v>
      </c>
      <c r="H110">
        <v>18</v>
      </c>
      <c r="I110">
        <v>34.22</v>
      </c>
      <c r="J110">
        <v>0.15</v>
      </c>
      <c r="K110">
        <v>523.57000000000005</v>
      </c>
      <c r="L110" t="str">
        <f t="shared" si="1"/>
        <v xml:space="preserve">Medium </v>
      </c>
    </row>
    <row r="111" spans="1:12" x14ac:dyDescent="0.25">
      <c r="A111" t="s">
        <v>247</v>
      </c>
      <c r="B111" s="1">
        <v>45035</v>
      </c>
      <c r="C111" t="s">
        <v>248</v>
      </c>
      <c r="D111" t="s">
        <v>99</v>
      </c>
      <c r="E111" t="s">
        <v>60</v>
      </c>
      <c r="F111" t="s">
        <v>42</v>
      </c>
      <c r="G111" t="s">
        <v>43</v>
      </c>
      <c r="H111">
        <v>20</v>
      </c>
      <c r="I111">
        <v>332.26</v>
      </c>
      <c r="J111">
        <v>0</v>
      </c>
      <c r="K111">
        <v>6645.2</v>
      </c>
      <c r="L111" t="str">
        <f t="shared" si="1"/>
        <v xml:space="preserve">No_Discount </v>
      </c>
    </row>
    <row r="112" spans="1:12" x14ac:dyDescent="0.25">
      <c r="A112" t="s">
        <v>249</v>
      </c>
      <c r="B112" s="1">
        <v>45114</v>
      </c>
      <c r="C112" t="s">
        <v>250</v>
      </c>
      <c r="D112" t="s">
        <v>76</v>
      </c>
      <c r="E112" t="s">
        <v>14</v>
      </c>
      <c r="F112" t="s">
        <v>27</v>
      </c>
      <c r="G112" t="s">
        <v>28</v>
      </c>
      <c r="H112">
        <v>8</v>
      </c>
      <c r="I112">
        <v>126.78</v>
      </c>
      <c r="J112">
        <v>0.14000000000000001</v>
      </c>
      <c r="K112">
        <v>874.43</v>
      </c>
      <c r="L112" t="str">
        <f t="shared" si="1"/>
        <v xml:space="preserve">Medium </v>
      </c>
    </row>
    <row r="113" spans="1:12" x14ac:dyDescent="0.25">
      <c r="A113" t="s">
        <v>251</v>
      </c>
      <c r="B113" s="1">
        <v>45192</v>
      </c>
      <c r="C113" t="s">
        <v>252</v>
      </c>
      <c r="D113" t="s">
        <v>25</v>
      </c>
      <c r="E113" t="s">
        <v>26</v>
      </c>
      <c r="F113" t="s">
        <v>21</v>
      </c>
      <c r="G113" t="s">
        <v>22</v>
      </c>
      <c r="H113">
        <v>33</v>
      </c>
      <c r="I113">
        <v>81.14</v>
      </c>
      <c r="J113">
        <v>0</v>
      </c>
      <c r="K113">
        <v>2677.62</v>
      </c>
      <c r="L113" t="str">
        <f t="shared" si="1"/>
        <v xml:space="preserve">No_Discount </v>
      </c>
    </row>
    <row r="114" spans="1:12" x14ac:dyDescent="0.25">
      <c r="A114" t="s">
        <v>253</v>
      </c>
      <c r="B114" s="1">
        <v>45130</v>
      </c>
      <c r="C114" t="s">
        <v>254</v>
      </c>
      <c r="D114" t="s">
        <v>25</v>
      </c>
      <c r="E114" t="s">
        <v>60</v>
      </c>
      <c r="F114" t="s">
        <v>82</v>
      </c>
      <c r="G114" t="s">
        <v>43</v>
      </c>
      <c r="H114">
        <v>50</v>
      </c>
      <c r="I114">
        <v>1109.04</v>
      </c>
      <c r="J114">
        <v>0</v>
      </c>
      <c r="K114">
        <v>55452</v>
      </c>
      <c r="L114" t="str">
        <f t="shared" si="1"/>
        <v xml:space="preserve">No_Discount </v>
      </c>
    </row>
    <row r="115" spans="1:12" x14ac:dyDescent="0.25">
      <c r="A115" t="s">
        <v>255</v>
      </c>
      <c r="B115" s="1">
        <v>45283</v>
      </c>
      <c r="C115" t="s">
        <v>186</v>
      </c>
      <c r="D115" t="s">
        <v>50</v>
      </c>
      <c r="E115" t="s">
        <v>36</v>
      </c>
      <c r="F115" t="s">
        <v>42</v>
      </c>
      <c r="G115" t="s">
        <v>43</v>
      </c>
      <c r="H115">
        <v>42</v>
      </c>
      <c r="I115">
        <v>330.31</v>
      </c>
      <c r="J115">
        <v>0.1</v>
      </c>
      <c r="K115">
        <v>12485.72</v>
      </c>
      <c r="L115" t="str">
        <f t="shared" si="1"/>
        <v xml:space="preserve">Low </v>
      </c>
    </row>
    <row r="116" spans="1:12" x14ac:dyDescent="0.25">
      <c r="A116" t="s">
        <v>256</v>
      </c>
      <c r="B116" s="1">
        <v>45221</v>
      </c>
      <c r="C116" t="s">
        <v>257</v>
      </c>
      <c r="D116" t="s">
        <v>76</v>
      </c>
      <c r="E116" t="s">
        <v>14</v>
      </c>
      <c r="F116" t="s">
        <v>21</v>
      </c>
      <c r="G116" t="s">
        <v>22</v>
      </c>
      <c r="H116">
        <v>13</v>
      </c>
      <c r="I116">
        <v>74.25</v>
      </c>
      <c r="J116">
        <v>0.1</v>
      </c>
      <c r="K116">
        <v>868.72</v>
      </c>
      <c r="L116" t="str">
        <f t="shared" si="1"/>
        <v xml:space="preserve">Low </v>
      </c>
    </row>
    <row r="117" spans="1:12" x14ac:dyDescent="0.25">
      <c r="A117" t="s">
        <v>258</v>
      </c>
      <c r="B117" s="1">
        <v>45243</v>
      </c>
      <c r="C117" t="s">
        <v>127</v>
      </c>
      <c r="D117" t="s">
        <v>76</v>
      </c>
      <c r="E117" t="s">
        <v>26</v>
      </c>
      <c r="F117" t="s">
        <v>21</v>
      </c>
      <c r="G117" t="s">
        <v>22</v>
      </c>
      <c r="H117">
        <v>45</v>
      </c>
      <c r="I117">
        <v>80.209999999999994</v>
      </c>
      <c r="J117">
        <v>0.05</v>
      </c>
      <c r="K117">
        <v>3428.98</v>
      </c>
      <c r="L117" t="str">
        <f t="shared" si="1"/>
        <v xml:space="preserve">Low </v>
      </c>
    </row>
    <row r="118" spans="1:12" x14ac:dyDescent="0.25">
      <c r="A118" t="s">
        <v>259</v>
      </c>
      <c r="B118" s="1">
        <v>44979</v>
      </c>
      <c r="C118" t="s">
        <v>64</v>
      </c>
      <c r="D118" t="s">
        <v>67</v>
      </c>
      <c r="E118" t="s">
        <v>36</v>
      </c>
      <c r="F118" t="s">
        <v>15</v>
      </c>
      <c r="G118" t="s">
        <v>16</v>
      </c>
      <c r="H118">
        <v>8</v>
      </c>
      <c r="I118">
        <v>93.78</v>
      </c>
      <c r="J118">
        <v>0.15</v>
      </c>
      <c r="K118">
        <v>637.70000000000005</v>
      </c>
      <c r="L118" t="str">
        <f t="shared" si="1"/>
        <v xml:space="preserve">Medium </v>
      </c>
    </row>
    <row r="119" spans="1:12" x14ac:dyDescent="0.25">
      <c r="A119" t="s">
        <v>260</v>
      </c>
      <c r="B119" s="1">
        <v>44981</v>
      </c>
      <c r="C119" t="s">
        <v>261</v>
      </c>
      <c r="D119" t="s">
        <v>99</v>
      </c>
      <c r="E119" t="s">
        <v>36</v>
      </c>
      <c r="F119" t="s">
        <v>32</v>
      </c>
      <c r="G119" t="s">
        <v>22</v>
      </c>
      <c r="H119">
        <v>22</v>
      </c>
      <c r="I119">
        <v>48.58</v>
      </c>
      <c r="J119">
        <v>0</v>
      </c>
      <c r="K119">
        <v>1068.76</v>
      </c>
      <c r="L119" t="str">
        <f t="shared" si="1"/>
        <v xml:space="preserve">No_Discount </v>
      </c>
    </row>
    <row r="120" spans="1:12" x14ac:dyDescent="0.25">
      <c r="A120" t="s">
        <v>262</v>
      </c>
      <c r="B120" s="1">
        <v>45061</v>
      </c>
      <c r="C120" t="s">
        <v>263</v>
      </c>
      <c r="D120" t="s">
        <v>67</v>
      </c>
      <c r="E120" t="s">
        <v>36</v>
      </c>
      <c r="F120" t="s">
        <v>21</v>
      </c>
      <c r="G120" t="s">
        <v>22</v>
      </c>
      <c r="H120">
        <v>2</v>
      </c>
      <c r="I120">
        <v>85.43</v>
      </c>
      <c r="J120">
        <v>0</v>
      </c>
      <c r="K120">
        <v>170.86</v>
      </c>
      <c r="L120" t="str">
        <f t="shared" si="1"/>
        <v xml:space="preserve">No_Discount </v>
      </c>
    </row>
    <row r="121" spans="1:12" x14ac:dyDescent="0.25">
      <c r="A121" t="s">
        <v>264</v>
      </c>
      <c r="B121" s="1">
        <v>45205</v>
      </c>
      <c r="C121" t="s">
        <v>265</v>
      </c>
      <c r="D121" t="s">
        <v>13</v>
      </c>
      <c r="E121" t="s">
        <v>36</v>
      </c>
      <c r="F121" t="s">
        <v>54</v>
      </c>
      <c r="G121" t="s">
        <v>55</v>
      </c>
      <c r="H121">
        <v>19</v>
      </c>
      <c r="I121">
        <v>449.31</v>
      </c>
      <c r="J121">
        <v>0</v>
      </c>
      <c r="K121">
        <v>8536.89</v>
      </c>
      <c r="L121" t="str">
        <f t="shared" si="1"/>
        <v xml:space="preserve">No_Discount </v>
      </c>
    </row>
    <row r="122" spans="1:12" x14ac:dyDescent="0.25">
      <c r="A122" t="s">
        <v>266</v>
      </c>
      <c r="B122" s="1">
        <v>44933</v>
      </c>
      <c r="C122" t="s">
        <v>267</v>
      </c>
      <c r="D122" t="s">
        <v>25</v>
      </c>
      <c r="E122" t="s">
        <v>60</v>
      </c>
      <c r="F122" t="s">
        <v>21</v>
      </c>
      <c r="G122" t="s">
        <v>22</v>
      </c>
      <c r="H122">
        <v>11</v>
      </c>
      <c r="I122">
        <v>86.08</v>
      </c>
      <c r="J122">
        <v>0.05</v>
      </c>
      <c r="K122">
        <v>899.54</v>
      </c>
      <c r="L122" t="str">
        <f t="shared" si="1"/>
        <v xml:space="preserve">Low </v>
      </c>
    </row>
    <row r="123" spans="1:12" x14ac:dyDescent="0.25">
      <c r="A123" t="s">
        <v>268</v>
      </c>
      <c r="B123" s="1">
        <v>45277</v>
      </c>
      <c r="C123" t="s">
        <v>269</v>
      </c>
      <c r="D123" t="s">
        <v>67</v>
      </c>
      <c r="E123" t="s">
        <v>20</v>
      </c>
      <c r="F123" t="s">
        <v>27</v>
      </c>
      <c r="G123" t="s">
        <v>28</v>
      </c>
      <c r="H123">
        <v>43</v>
      </c>
      <c r="I123">
        <v>135.99</v>
      </c>
      <c r="J123">
        <v>0</v>
      </c>
      <c r="K123">
        <v>5847.57</v>
      </c>
      <c r="L123" t="str">
        <f t="shared" si="1"/>
        <v xml:space="preserve">No_Discount </v>
      </c>
    </row>
    <row r="124" spans="1:12" x14ac:dyDescent="0.25">
      <c r="A124" t="s">
        <v>270</v>
      </c>
      <c r="B124" s="1">
        <v>45054</v>
      </c>
      <c r="C124" t="s">
        <v>271</v>
      </c>
      <c r="D124" t="s">
        <v>39</v>
      </c>
      <c r="E124" t="s">
        <v>20</v>
      </c>
      <c r="F124" t="s">
        <v>27</v>
      </c>
      <c r="G124" t="s">
        <v>28</v>
      </c>
      <c r="H124">
        <v>39</v>
      </c>
      <c r="I124">
        <v>134.19</v>
      </c>
      <c r="J124">
        <v>0.1</v>
      </c>
      <c r="K124">
        <v>4710.07</v>
      </c>
      <c r="L124" t="str">
        <f t="shared" si="1"/>
        <v xml:space="preserve">Low </v>
      </c>
    </row>
    <row r="125" spans="1:12" x14ac:dyDescent="0.25">
      <c r="A125" t="s">
        <v>272</v>
      </c>
      <c r="B125" s="1">
        <v>44942</v>
      </c>
      <c r="C125" t="s">
        <v>273</v>
      </c>
      <c r="D125" t="s">
        <v>50</v>
      </c>
      <c r="E125" t="s">
        <v>36</v>
      </c>
      <c r="F125" t="s">
        <v>54</v>
      </c>
      <c r="G125" t="s">
        <v>55</v>
      </c>
      <c r="H125">
        <v>16</v>
      </c>
      <c r="I125">
        <v>469.98</v>
      </c>
      <c r="J125">
        <v>0</v>
      </c>
      <c r="K125">
        <v>7519.68</v>
      </c>
      <c r="L125" t="str">
        <f t="shared" si="1"/>
        <v xml:space="preserve">No_Discount </v>
      </c>
    </row>
    <row r="126" spans="1:12" x14ac:dyDescent="0.25">
      <c r="A126" t="s">
        <v>274</v>
      </c>
      <c r="B126" s="1">
        <v>44998</v>
      </c>
      <c r="C126" t="s">
        <v>275</v>
      </c>
      <c r="D126" t="s">
        <v>39</v>
      </c>
      <c r="E126" t="s">
        <v>26</v>
      </c>
      <c r="F126" t="s">
        <v>21</v>
      </c>
      <c r="G126" t="s">
        <v>22</v>
      </c>
      <c r="H126">
        <v>19</v>
      </c>
      <c r="I126">
        <v>82.26</v>
      </c>
      <c r="J126">
        <v>0</v>
      </c>
      <c r="K126">
        <v>1562.94</v>
      </c>
      <c r="L126" t="str">
        <f t="shared" si="1"/>
        <v xml:space="preserve">No_Discount </v>
      </c>
    </row>
    <row r="127" spans="1:12" x14ac:dyDescent="0.25">
      <c r="A127" t="s">
        <v>276</v>
      </c>
      <c r="B127" s="1">
        <v>44969</v>
      </c>
      <c r="C127" t="s">
        <v>277</v>
      </c>
      <c r="D127" t="s">
        <v>76</v>
      </c>
      <c r="E127" t="s">
        <v>14</v>
      </c>
      <c r="F127" t="s">
        <v>27</v>
      </c>
      <c r="G127" t="s">
        <v>28</v>
      </c>
      <c r="H127">
        <v>16</v>
      </c>
      <c r="I127">
        <v>124.1</v>
      </c>
      <c r="J127">
        <v>0.2</v>
      </c>
      <c r="K127">
        <v>1588.48</v>
      </c>
      <c r="L127" t="str">
        <f t="shared" si="1"/>
        <v xml:space="preserve">Medium </v>
      </c>
    </row>
    <row r="128" spans="1:12" x14ac:dyDescent="0.25">
      <c r="A128" t="s">
        <v>278</v>
      </c>
      <c r="B128" s="1">
        <v>45087</v>
      </c>
      <c r="C128" t="s">
        <v>279</v>
      </c>
      <c r="D128" t="s">
        <v>76</v>
      </c>
      <c r="E128" t="s">
        <v>36</v>
      </c>
      <c r="F128" t="s">
        <v>27</v>
      </c>
      <c r="G128" t="s">
        <v>28</v>
      </c>
      <c r="H128">
        <v>30</v>
      </c>
      <c r="I128">
        <v>1192.9000000000001</v>
      </c>
      <c r="J128">
        <v>0.92</v>
      </c>
      <c r="K128">
        <v>2862.96</v>
      </c>
      <c r="L128" t="str">
        <f t="shared" si="1"/>
        <v xml:space="preserve">High </v>
      </c>
    </row>
    <row r="129" spans="1:12" x14ac:dyDescent="0.25">
      <c r="A129" t="s">
        <v>280</v>
      </c>
      <c r="B129" s="1">
        <v>45182</v>
      </c>
      <c r="C129" t="s">
        <v>281</v>
      </c>
      <c r="D129" t="s">
        <v>35</v>
      </c>
      <c r="E129" t="s">
        <v>36</v>
      </c>
      <c r="F129" t="s">
        <v>15</v>
      </c>
      <c r="G129" t="s">
        <v>16</v>
      </c>
      <c r="H129">
        <v>29</v>
      </c>
      <c r="I129">
        <v>105.62</v>
      </c>
      <c r="J129">
        <v>0</v>
      </c>
      <c r="K129">
        <v>3062.98</v>
      </c>
      <c r="L129" t="str">
        <f t="shared" si="1"/>
        <v xml:space="preserve">No_Discount </v>
      </c>
    </row>
    <row r="130" spans="1:12" x14ac:dyDescent="0.25">
      <c r="A130" t="s">
        <v>282</v>
      </c>
      <c r="B130" s="1">
        <v>45040</v>
      </c>
      <c r="C130" t="s">
        <v>231</v>
      </c>
      <c r="D130" t="s">
        <v>35</v>
      </c>
      <c r="E130" t="s">
        <v>60</v>
      </c>
      <c r="F130" t="s">
        <v>54</v>
      </c>
      <c r="G130" t="s">
        <v>55</v>
      </c>
      <c r="H130">
        <v>10</v>
      </c>
      <c r="I130">
        <v>449.54</v>
      </c>
      <c r="J130">
        <v>0</v>
      </c>
      <c r="K130">
        <v>4495.3999999999996</v>
      </c>
      <c r="L130" t="str">
        <f t="shared" ref="L130:L193" si="2">IF(J130=0, "No_Discount ", IF(J130&lt;=0.1, "Low ", IF(J130&lt;=0.2, "Medium ", "High ")))</f>
        <v xml:space="preserve">No_Discount </v>
      </c>
    </row>
    <row r="131" spans="1:12" x14ac:dyDescent="0.25">
      <c r="A131" t="s">
        <v>283</v>
      </c>
      <c r="B131" s="1">
        <v>45080</v>
      </c>
      <c r="C131" t="s">
        <v>119</v>
      </c>
      <c r="D131" t="s">
        <v>53</v>
      </c>
      <c r="E131" t="s">
        <v>20</v>
      </c>
      <c r="F131" t="s">
        <v>79</v>
      </c>
      <c r="G131" t="s">
        <v>22</v>
      </c>
      <c r="H131">
        <v>50</v>
      </c>
      <c r="I131">
        <v>39.6</v>
      </c>
      <c r="J131">
        <v>0.14000000000000001</v>
      </c>
      <c r="K131">
        <v>1706.72</v>
      </c>
      <c r="L131" t="str">
        <f t="shared" si="2"/>
        <v xml:space="preserve">Medium </v>
      </c>
    </row>
    <row r="132" spans="1:12" x14ac:dyDescent="0.25">
      <c r="A132" t="s">
        <v>284</v>
      </c>
      <c r="B132" s="1">
        <v>45163</v>
      </c>
      <c r="C132" t="s">
        <v>30</v>
      </c>
      <c r="D132" t="s">
        <v>53</v>
      </c>
      <c r="E132" t="s">
        <v>14</v>
      </c>
      <c r="F132" t="s">
        <v>32</v>
      </c>
      <c r="G132" t="s">
        <v>22</v>
      </c>
      <c r="H132">
        <v>23</v>
      </c>
      <c r="I132">
        <v>42.58</v>
      </c>
      <c r="J132">
        <v>0.05</v>
      </c>
      <c r="K132">
        <v>930.37</v>
      </c>
      <c r="L132" t="str">
        <f t="shared" si="2"/>
        <v xml:space="preserve">Low </v>
      </c>
    </row>
    <row r="133" spans="1:12" x14ac:dyDescent="0.25">
      <c r="A133" t="s">
        <v>285</v>
      </c>
      <c r="B133" s="1">
        <v>45203</v>
      </c>
      <c r="C133" t="s">
        <v>286</v>
      </c>
      <c r="D133" t="s">
        <v>76</v>
      </c>
      <c r="E133" t="s">
        <v>20</v>
      </c>
      <c r="F133" t="s">
        <v>42</v>
      </c>
      <c r="G133" t="s">
        <v>43</v>
      </c>
      <c r="H133">
        <v>19</v>
      </c>
      <c r="I133">
        <v>311.94</v>
      </c>
      <c r="J133">
        <v>0</v>
      </c>
      <c r="K133">
        <v>5926.86</v>
      </c>
      <c r="L133" t="str">
        <f t="shared" si="2"/>
        <v xml:space="preserve">No_Discount </v>
      </c>
    </row>
    <row r="134" spans="1:12" x14ac:dyDescent="0.25">
      <c r="A134" t="s">
        <v>287</v>
      </c>
      <c r="B134" s="1">
        <v>44943</v>
      </c>
      <c r="C134" t="s">
        <v>288</v>
      </c>
      <c r="D134" t="s">
        <v>67</v>
      </c>
      <c r="E134" t="s">
        <v>14</v>
      </c>
      <c r="F134" t="s">
        <v>54</v>
      </c>
      <c r="G134" t="s">
        <v>55</v>
      </c>
      <c r="H134">
        <v>12</v>
      </c>
      <c r="I134">
        <v>439.71</v>
      </c>
      <c r="J134">
        <v>0</v>
      </c>
      <c r="K134">
        <v>5276.52</v>
      </c>
      <c r="L134" t="str">
        <f t="shared" si="2"/>
        <v xml:space="preserve">No_Discount </v>
      </c>
    </row>
    <row r="135" spans="1:12" x14ac:dyDescent="0.25">
      <c r="A135" t="s">
        <v>289</v>
      </c>
      <c r="B135" s="1">
        <v>45252</v>
      </c>
      <c r="C135" t="s">
        <v>290</v>
      </c>
      <c r="D135" t="s">
        <v>39</v>
      </c>
      <c r="E135" t="s">
        <v>26</v>
      </c>
      <c r="F135" t="s">
        <v>32</v>
      </c>
      <c r="G135" t="s">
        <v>22</v>
      </c>
      <c r="H135">
        <v>10</v>
      </c>
      <c r="I135">
        <v>47.3</v>
      </c>
      <c r="J135">
        <v>0.15</v>
      </c>
      <c r="K135">
        <v>402.05</v>
      </c>
      <c r="L135" t="str">
        <f t="shared" si="2"/>
        <v xml:space="preserve">Medium </v>
      </c>
    </row>
    <row r="136" spans="1:12" x14ac:dyDescent="0.25">
      <c r="A136" t="s">
        <v>291</v>
      </c>
      <c r="B136" s="1">
        <v>45254</v>
      </c>
      <c r="C136" t="s">
        <v>188</v>
      </c>
      <c r="D136" t="s">
        <v>53</v>
      </c>
      <c r="E136" t="s">
        <v>26</v>
      </c>
      <c r="F136" t="s">
        <v>15</v>
      </c>
      <c r="G136" t="s">
        <v>16</v>
      </c>
      <c r="H136">
        <v>46</v>
      </c>
      <c r="I136">
        <v>95.05</v>
      </c>
      <c r="J136">
        <v>0.15</v>
      </c>
      <c r="K136">
        <v>3716.46</v>
      </c>
      <c r="L136" t="str">
        <f t="shared" si="2"/>
        <v xml:space="preserve">Medium </v>
      </c>
    </row>
    <row r="137" spans="1:12" x14ac:dyDescent="0.25">
      <c r="A137" t="s">
        <v>292</v>
      </c>
      <c r="B137" s="1">
        <v>44998</v>
      </c>
      <c r="C137" t="s">
        <v>248</v>
      </c>
      <c r="D137" t="s">
        <v>25</v>
      </c>
      <c r="E137" t="s">
        <v>60</v>
      </c>
      <c r="F137" t="s">
        <v>15</v>
      </c>
      <c r="G137" t="s">
        <v>16</v>
      </c>
      <c r="H137">
        <v>48</v>
      </c>
      <c r="I137">
        <v>85.77</v>
      </c>
      <c r="J137">
        <v>0.05</v>
      </c>
      <c r="K137">
        <v>3911.11</v>
      </c>
      <c r="L137" t="str">
        <f t="shared" si="2"/>
        <v xml:space="preserve">Low </v>
      </c>
    </row>
    <row r="138" spans="1:12" x14ac:dyDescent="0.25">
      <c r="A138" t="s">
        <v>293</v>
      </c>
      <c r="B138" s="1">
        <v>45257</v>
      </c>
      <c r="C138" t="s">
        <v>294</v>
      </c>
      <c r="D138" t="s">
        <v>53</v>
      </c>
      <c r="E138" t="s">
        <v>20</v>
      </c>
      <c r="F138" t="s">
        <v>27</v>
      </c>
      <c r="G138" t="s">
        <v>28</v>
      </c>
      <c r="H138">
        <v>47</v>
      </c>
      <c r="I138">
        <v>125.18</v>
      </c>
      <c r="J138">
        <v>0</v>
      </c>
      <c r="K138">
        <v>5883.46</v>
      </c>
      <c r="L138" t="str">
        <f t="shared" si="2"/>
        <v xml:space="preserve">No_Discount </v>
      </c>
    </row>
    <row r="139" spans="1:12" x14ac:dyDescent="0.25">
      <c r="A139" t="s">
        <v>295</v>
      </c>
      <c r="B139" s="1">
        <v>45277</v>
      </c>
      <c r="C139" t="s">
        <v>41</v>
      </c>
      <c r="D139" t="s">
        <v>39</v>
      </c>
      <c r="E139" t="s">
        <v>20</v>
      </c>
      <c r="F139" t="s">
        <v>32</v>
      </c>
      <c r="G139" t="s">
        <v>22</v>
      </c>
      <c r="H139">
        <v>30</v>
      </c>
      <c r="I139">
        <v>41.84</v>
      </c>
      <c r="J139">
        <v>0</v>
      </c>
      <c r="K139">
        <v>1255.2</v>
      </c>
      <c r="L139" t="str">
        <f t="shared" si="2"/>
        <v xml:space="preserve">No_Discount </v>
      </c>
    </row>
    <row r="140" spans="1:12" x14ac:dyDescent="0.25">
      <c r="A140" t="s">
        <v>296</v>
      </c>
      <c r="B140" s="1">
        <v>45161</v>
      </c>
      <c r="C140" t="s">
        <v>297</v>
      </c>
      <c r="D140" t="s">
        <v>35</v>
      </c>
      <c r="E140" t="s">
        <v>26</v>
      </c>
      <c r="F140" t="s">
        <v>21</v>
      </c>
      <c r="G140" t="s">
        <v>22</v>
      </c>
      <c r="H140">
        <v>47</v>
      </c>
      <c r="I140">
        <v>91.36</v>
      </c>
      <c r="J140">
        <v>0.1</v>
      </c>
      <c r="K140">
        <v>3864.53</v>
      </c>
      <c r="L140" t="str">
        <f t="shared" si="2"/>
        <v xml:space="preserve">Low </v>
      </c>
    </row>
    <row r="141" spans="1:12" x14ac:dyDescent="0.25">
      <c r="A141" t="s">
        <v>298</v>
      </c>
      <c r="B141" s="1">
        <v>44943</v>
      </c>
      <c r="C141" t="s">
        <v>299</v>
      </c>
      <c r="D141" t="s">
        <v>35</v>
      </c>
      <c r="E141" t="s">
        <v>36</v>
      </c>
      <c r="F141" t="s">
        <v>21</v>
      </c>
      <c r="G141" t="s">
        <v>22</v>
      </c>
      <c r="H141">
        <v>33</v>
      </c>
      <c r="I141">
        <v>90.78</v>
      </c>
      <c r="J141">
        <v>0.05</v>
      </c>
      <c r="K141">
        <v>2845.95</v>
      </c>
      <c r="L141" t="str">
        <f t="shared" si="2"/>
        <v xml:space="preserve">Low </v>
      </c>
    </row>
    <row r="142" spans="1:12" x14ac:dyDescent="0.25">
      <c r="A142" t="s">
        <v>300</v>
      </c>
      <c r="B142" s="1">
        <v>45027</v>
      </c>
      <c r="C142" t="s">
        <v>297</v>
      </c>
      <c r="D142" t="s">
        <v>76</v>
      </c>
      <c r="E142" t="s">
        <v>20</v>
      </c>
      <c r="F142" t="s">
        <v>32</v>
      </c>
      <c r="G142" t="s">
        <v>22</v>
      </c>
      <c r="H142">
        <v>9</v>
      </c>
      <c r="I142">
        <v>46.08</v>
      </c>
      <c r="J142">
        <v>0</v>
      </c>
      <c r="K142">
        <v>414.72</v>
      </c>
      <c r="L142" t="str">
        <f t="shared" si="2"/>
        <v xml:space="preserve">No_Discount </v>
      </c>
    </row>
    <row r="143" spans="1:12" x14ac:dyDescent="0.25">
      <c r="A143" t="s">
        <v>301</v>
      </c>
      <c r="B143" s="1">
        <v>45058</v>
      </c>
      <c r="C143" t="s">
        <v>302</v>
      </c>
      <c r="D143" t="s">
        <v>67</v>
      </c>
      <c r="E143" t="s">
        <v>14</v>
      </c>
      <c r="F143" t="s">
        <v>79</v>
      </c>
      <c r="G143" t="s">
        <v>22</v>
      </c>
      <c r="H143">
        <v>3</v>
      </c>
      <c r="I143">
        <v>34.24</v>
      </c>
      <c r="J143">
        <v>0.15</v>
      </c>
      <c r="K143">
        <v>87.31</v>
      </c>
      <c r="L143" t="str">
        <f t="shared" si="2"/>
        <v xml:space="preserve">Medium </v>
      </c>
    </row>
    <row r="144" spans="1:12" x14ac:dyDescent="0.25">
      <c r="A144" t="s">
        <v>303</v>
      </c>
      <c r="B144" s="1">
        <v>44967</v>
      </c>
      <c r="C144" t="s">
        <v>304</v>
      </c>
      <c r="D144" t="s">
        <v>53</v>
      </c>
      <c r="E144" t="s">
        <v>36</v>
      </c>
      <c r="F144" t="s">
        <v>32</v>
      </c>
      <c r="G144" t="s">
        <v>22</v>
      </c>
      <c r="H144">
        <v>29</v>
      </c>
      <c r="I144">
        <v>43.87</v>
      </c>
      <c r="J144">
        <v>0</v>
      </c>
      <c r="K144">
        <v>1272.23</v>
      </c>
      <c r="L144" t="str">
        <f t="shared" si="2"/>
        <v xml:space="preserve">No_Discount </v>
      </c>
    </row>
    <row r="145" spans="1:12" x14ac:dyDescent="0.25">
      <c r="A145" t="s">
        <v>305</v>
      </c>
      <c r="B145" s="1">
        <v>45241</v>
      </c>
      <c r="C145" t="s">
        <v>297</v>
      </c>
      <c r="D145" t="s">
        <v>35</v>
      </c>
      <c r="E145" t="s">
        <v>26</v>
      </c>
      <c r="F145" t="s">
        <v>32</v>
      </c>
      <c r="G145" t="s">
        <v>22</v>
      </c>
      <c r="H145">
        <v>43</v>
      </c>
      <c r="I145">
        <v>46.17</v>
      </c>
      <c r="J145">
        <v>0</v>
      </c>
      <c r="K145">
        <v>1985.31</v>
      </c>
      <c r="L145" t="str">
        <f t="shared" si="2"/>
        <v xml:space="preserve">No_Discount </v>
      </c>
    </row>
    <row r="146" spans="1:12" x14ac:dyDescent="0.25">
      <c r="A146" t="s">
        <v>306</v>
      </c>
      <c r="B146" s="1">
        <v>44942</v>
      </c>
      <c r="C146" t="s">
        <v>307</v>
      </c>
      <c r="D146" t="s">
        <v>53</v>
      </c>
      <c r="E146" t="s">
        <v>14</v>
      </c>
      <c r="F146" t="s">
        <v>15</v>
      </c>
      <c r="G146" t="s">
        <v>16</v>
      </c>
      <c r="H146">
        <v>3</v>
      </c>
      <c r="I146">
        <v>100.74</v>
      </c>
      <c r="J146">
        <v>0.05</v>
      </c>
      <c r="K146">
        <v>287.11</v>
      </c>
      <c r="L146" t="str">
        <f t="shared" si="2"/>
        <v xml:space="preserve">Low </v>
      </c>
    </row>
    <row r="147" spans="1:12" x14ac:dyDescent="0.25">
      <c r="A147" t="s">
        <v>308</v>
      </c>
      <c r="B147" s="1">
        <v>44940</v>
      </c>
      <c r="C147" t="s">
        <v>309</v>
      </c>
      <c r="D147" t="s">
        <v>39</v>
      </c>
      <c r="E147" t="s">
        <v>60</v>
      </c>
      <c r="F147" t="s">
        <v>79</v>
      </c>
      <c r="G147" t="s">
        <v>22</v>
      </c>
      <c r="H147">
        <v>32</v>
      </c>
      <c r="I147">
        <v>39.67</v>
      </c>
      <c r="J147">
        <v>0</v>
      </c>
      <c r="K147">
        <v>1269.44</v>
      </c>
      <c r="L147" t="str">
        <f t="shared" si="2"/>
        <v xml:space="preserve">No_Discount </v>
      </c>
    </row>
    <row r="148" spans="1:12" x14ac:dyDescent="0.25">
      <c r="A148" t="s">
        <v>310</v>
      </c>
      <c r="B148" s="1">
        <v>45242</v>
      </c>
      <c r="C148" t="s">
        <v>311</v>
      </c>
      <c r="D148" t="s">
        <v>39</v>
      </c>
      <c r="E148" t="s">
        <v>26</v>
      </c>
      <c r="F148" t="s">
        <v>32</v>
      </c>
      <c r="G148" t="s">
        <v>22</v>
      </c>
      <c r="H148">
        <v>23</v>
      </c>
      <c r="I148">
        <v>44.11</v>
      </c>
      <c r="J148">
        <v>0</v>
      </c>
      <c r="K148">
        <v>1014.53</v>
      </c>
      <c r="L148" t="str">
        <f t="shared" si="2"/>
        <v xml:space="preserve">No_Discount </v>
      </c>
    </row>
    <row r="149" spans="1:12" x14ac:dyDescent="0.25">
      <c r="A149" t="s">
        <v>312</v>
      </c>
      <c r="B149" s="1">
        <v>44973</v>
      </c>
      <c r="C149" t="s">
        <v>313</v>
      </c>
      <c r="D149" t="s">
        <v>67</v>
      </c>
      <c r="E149" t="s">
        <v>36</v>
      </c>
      <c r="F149" t="s">
        <v>82</v>
      </c>
      <c r="G149" t="s">
        <v>43</v>
      </c>
      <c r="H149">
        <v>39</v>
      </c>
      <c r="I149">
        <v>1186.29</v>
      </c>
      <c r="J149">
        <v>0</v>
      </c>
      <c r="K149">
        <v>46265.31</v>
      </c>
      <c r="L149" t="str">
        <f t="shared" si="2"/>
        <v xml:space="preserve">No_Discount </v>
      </c>
    </row>
    <row r="150" spans="1:12" x14ac:dyDescent="0.25">
      <c r="A150" t="s">
        <v>314</v>
      </c>
      <c r="B150" s="1">
        <v>45087</v>
      </c>
      <c r="C150" t="s">
        <v>315</v>
      </c>
      <c r="D150" t="s">
        <v>50</v>
      </c>
      <c r="E150" t="s">
        <v>26</v>
      </c>
      <c r="F150" t="s">
        <v>42</v>
      </c>
      <c r="G150" t="s">
        <v>43</v>
      </c>
      <c r="H150">
        <v>12</v>
      </c>
      <c r="I150">
        <v>310.76</v>
      </c>
      <c r="J150">
        <v>0.2</v>
      </c>
      <c r="K150">
        <v>2983.3</v>
      </c>
      <c r="L150" t="str">
        <f t="shared" si="2"/>
        <v xml:space="preserve">Medium </v>
      </c>
    </row>
    <row r="151" spans="1:12" x14ac:dyDescent="0.25">
      <c r="A151" t="s">
        <v>316</v>
      </c>
      <c r="B151" s="1">
        <v>45130</v>
      </c>
      <c r="C151" t="s">
        <v>317</v>
      </c>
      <c r="D151" t="s">
        <v>13</v>
      </c>
      <c r="E151" t="s">
        <v>60</v>
      </c>
      <c r="F151" t="s">
        <v>21</v>
      </c>
      <c r="G151" t="s">
        <v>22</v>
      </c>
      <c r="H151">
        <v>33</v>
      </c>
      <c r="I151">
        <v>87.66</v>
      </c>
      <c r="J151">
        <v>0.1</v>
      </c>
      <c r="K151">
        <v>2603.5</v>
      </c>
      <c r="L151" t="str">
        <f t="shared" si="2"/>
        <v xml:space="preserve">Low </v>
      </c>
    </row>
    <row r="152" spans="1:12" x14ac:dyDescent="0.25">
      <c r="A152" t="s">
        <v>318</v>
      </c>
      <c r="B152" s="1">
        <v>45201</v>
      </c>
      <c r="C152" t="s">
        <v>115</v>
      </c>
      <c r="D152" t="s">
        <v>50</v>
      </c>
      <c r="E152" t="s">
        <v>20</v>
      </c>
      <c r="F152" t="s">
        <v>15</v>
      </c>
      <c r="G152" t="s">
        <v>16</v>
      </c>
      <c r="H152">
        <v>33</v>
      </c>
      <c r="I152">
        <v>106.39</v>
      </c>
      <c r="J152">
        <v>0.15</v>
      </c>
      <c r="K152">
        <v>2984.24</v>
      </c>
      <c r="L152" t="str">
        <f t="shared" si="2"/>
        <v xml:space="preserve">Medium </v>
      </c>
    </row>
    <row r="153" spans="1:12" x14ac:dyDescent="0.25">
      <c r="A153" t="s">
        <v>319</v>
      </c>
      <c r="B153" s="1">
        <v>45160</v>
      </c>
      <c r="C153" t="s">
        <v>320</v>
      </c>
      <c r="D153" t="s">
        <v>99</v>
      </c>
      <c r="E153" t="s">
        <v>14</v>
      </c>
      <c r="F153" t="s">
        <v>82</v>
      </c>
      <c r="G153" t="s">
        <v>43</v>
      </c>
      <c r="H153">
        <v>49</v>
      </c>
      <c r="I153">
        <v>1192.69</v>
      </c>
      <c r="J153">
        <v>0.15</v>
      </c>
      <c r="K153">
        <v>49675.54</v>
      </c>
      <c r="L153" t="str">
        <f t="shared" si="2"/>
        <v xml:space="preserve">Medium </v>
      </c>
    </row>
    <row r="154" spans="1:12" x14ac:dyDescent="0.25">
      <c r="A154" t="s">
        <v>321</v>
      </c>
      <c r="B154" s="1">
        <v>45161</v>
      </c>
      <c r="C154" t="s">
        <v>279</v>
      </c>
      <c r="D154" t="s">
        <v>53</v>
      </c>
      <c r="E154" t="s">
        <v>60</v>
      </c>
      <c r="F154" t="s">
        <v>79</v>
      </c>
      <c r="G154" t="s">
        <v>22</v>
      </c>
      <c r="H154">
        <v>14</v>
      </c>
      <c r="I154">
        <v>37.119999999999997</v>
      </c>
      <c r="J154">
        <v>0.05</v>
      </c>
      <c r="K154">
        <v>493.7</v>
      </c>
      <c r="L154" t="str">
        <f t="shared" si="2"/>
        <v xml:space="preserve">Low </v>
      </c>
    </row>
    <row r="155" spans="1:12" x14ac:dyDescent="0.25">
      <c r="A155" t="s">
        <v>322</v>
      </c>
      <c r="B155" s="1">
        <v>45212</v>
      </c>
      <c r="C155" t="s">
        <v>137</v>
      </c>
      <c r="D155" t="s">
        <v>99</v>
      </c>
      <c r="E155" t="s">
        <v>36</v>
      </c>
      <c r="F155" t="s">
        <v>32</v>
      </c>
      <c r="G155" t="s">
        <v>22</v>
      </c>
      <c r="H155">
        <v>41</v>
      </c>
      <c r="I155">
        <v>43.75</v>
      </c>
      <c r="J155">
        <v>0</v>
      </c>
      <c r="K155">
        <v>1793.75</v>
      </c>
      <c r="L155" t="str">
        <f t="shared" si="2"/>
        <v xml:space="preserve">No_Discount </v>
      </c>
    </row>
    <row r="156" spans="1:12" x14ac:dyDescent="0.25">
      <c r="A156" t="s">
        <v>323</v>
      </c>
      <c r="B156" s="1">
        <v>44934</v>
      </c>
      <c r="C156" t="s">
        <v>324</v>
      </c>
      <c r="D156" t="s">
        <v>19</v>
      </c>
      <c r="E156" t="s">
        <v>14</v>
      </c>
      <c r="F156" t="s">
        <v>32</v>
      </c>
      <c r="G156" t="s">
        <v>22</v>
      </c>
      <c r="H156">
        <v>11</v>
      </c>
      <c r="I156">
        <v>49.88</v>
      </c>
      <c r="J156">
        <v>0</v>
      </c>
      <c r="K156">
        <v>548.67999999999995</v>
      </c>
      <c r="L156" t="str">
        <f t="shared" si="2"/>
        <v xml:space="preserve">No_Discount </v>
      </c>
    </row>
    <row r="157" spans="1:12" x14ac:dyDescent="0.25">
      <c r="A157" t="s">
        <v>325</v>
      </c>
      <c r="B157" s="1">
        <v>45051</v>
      </c>
      <c r="C157" t="s">
        <v>326</v>
      </c>
      <c r="D157" t="s">
        <v>76</v>
      </c>
      <c r="E157" t="s">
        <v>36</v>
      </c>
      <c r="F157" t="s">
        <v>32</v>
      </c>
      <c r="G157" t="s">
        <v>22</v>
      </c>
      <c r="H157">
        <v>3</v>
      </c>
      <c r="I157">
        <v>42.33</v>
      </c>
      <c r="J157">
        <v>0.05</v>
      </c>
      <c r="K157">
        <v>120.64</v>
      </c>
      <c r="L157" t="str">
        <f t="shared" si="2"/>
        <v xml:space="preserve">Low </v>
      </c>
    </row>
    <row r="158" spans="1:12" x14ac:dyDescent="0.25">
      <c r="A158" t="s">
        <v>327</v>
      </c>
      <c r="B158" s="1">
        <v>45076</v>
      </c>
      <c r="C158" t="s">
        <v>89</v>
      </c>
      <c r="D158" t="s">
        <v>50</v>
      </c>
      <c r="E158" t="s">
        <v>60</v>
      </c>
      <c r="F158" t="s">
        <v>79</v>
      </c>
      <c r="G158" t="s">
        <v>22</v>
      </c>
      <c r="H158">
        <v>50</v>
      </c>
      <c r="I158">
        <v>39.71</v>
      </c>
      <c r="J158">
        <v>0</v>
      </c>
      <c r="K158">
        <v>1985.5</v>
      </c>
      <c r="L158" t="str">
        <f t="shared" si="2"/>
        <v xml:space="preserve">No_Discount </v>
      </c>
    </row>
    <row r="159" spans="1:12" x14ac:dyDescent="0.25">
      <c r="A159" t="s">
        <v>328</v>
      </c>
      <c r="B159" s="1">
        <v>45219</v>
      </c>
      <c r="C159" t="s">
        <v>41</v>
      </c>
      <c r="D159" t="s">
        <v>76</v>
      </c>
      <c r="E159" t="s">
        <v>14</v>
      </c>
      <c r="F159" t="s">
        <v>15</v>
      </c>
      <c r="G159" t="s">
        <v>16</v>
      </c>
      <c r="H159">
        <v>37</v>
      </c>
      <c r="I159">
        <v>96.88</v>
      </c>
      <c r="J159">
        <v>0.1</v>
      </c>
      <c r="K159">
        <v>3226.1</v>
      </c>
      <c r="L159" t="str">
        <f t="shared" si="2"/>
        <v xml:space="preserve">Low </v>
      </c>
    </row>
    <row r="160" spans="1:12" x14ac:dyDescent="0.25">
      <c r="A160" t="s">
        <v>329</v>
      </c>
      <c r="B160" s="1">
        <v>45079</v>
      </c>
      <c r="C160" t="s">
        <v>299</v>
      </c>
      <c r="D160" t="s">
        <v>19</v>
      </c>
      <c r="E160" t="s">
        <v>20</v>
      </c>
      <c r="F160" t="s">
        <v>42</v>
      </c>
      <c r="G160" t="s">
        <v>43</v>
      </c>
      <c r="H160">
        <v>45</v>
      </c>
      <c r="I160">
        <v>332.13</v>
      </c>
      <c r="J160">
        <v>0</v>
      </c>
      <c r="K160">
        <v>14945.85</v>
      </c>
      <c r="L160" t="str">
        <f t="shared" si="2"/>
        <v xml:space="preserve">No_Discount </v>
      </c>
    </row>
    <row r="161" spans="1:12" x14ac:dyDescent="0.25">
      <c r="A161" t="s">
        <v>330</v>
      </c>
      <c r="B161" s="1">
        <v>45088</v>
      </c>
      <c r="C161" t="s">
        <v>331</v>
      </c>
      <c r="D161" t="s">
        <v>50</v>
      </c>
      <c r="E161" t="s">
        <v>60</v>
      </c>
      <c r="F161" t="s">
        <v>79</v>
      </c>
      <c r="G161" t="s">
        <v>22</v>
      </c>
      <c r="H161">
        <v>17</v>
      </c>
      <c r="I161">
        <v>32.36</v>
      </c>
      <c r="J161">
        <v>0</v>
      </c>
      <c r="K161">
        <v>550.12</v>
      </c>
      <c r="L161" t="str">
        <f t="shared" si="2"/>
        <v xml:space="preserve">No_Discount </v>
      </c>
    </row>
    <row r="162" spans="1:12" x14ac:dyDescent="0.25">
      <c r="A162" t="s">
        <v>332</v>
      </c>
      <c r="B162" s="1">
        <v>45076</v>
      </c>
      <c r="C162" t="s">
        <v>235</v>
      </c>
      <c r="D162" t="s">
        <v>31</v>
      </c>
      <c r="E162" t="s">
        <v>60</v>
      </c>
      <c r="F162" t="s">
        <v>82</v>
      </c>
      <c r="G162" t="s">
        <v>43</v>
      </c>
      <c r="H162">
        <v>22</v>
      </c>
      <c r="I162">
        <v>1158.24</v>
      </c>
      <c r="J162">
        <v>0.1</v>
      </c>
      <c r="K162">
        <v>22933.15</v>
      </c>
      <c r="L162" t="str">
        <f t="shared" si="2"/>
        <v xml:space="preserve">Low </v>
      </c>
    </row>
    <row r="163" spans="1:12" x14ac:dyDescent="0.25">
      <c r="A163" t="s">
        <v>333</v>
      </c>
      <c r="B163" s="1">
        <v>44982</v>
      </c>
      <c r="C163" t="s">
        <v>334</v>
      </c>
      <c r="D163" t="s">
        <v>19</v>
      </c>
      <c r="E163" t="s">
        <v>36</v>
      </c>
      <c r="F163" t="s">
        <v>32</v>
      </c>
      <c r="G163" t="s">
        <v>22</v>
      </c>
      <c r="H163">
        <v>8</v>
      </c>
      <c r="I163">
        <v>44.39</v>
      </c>
      <c r="J163">
        <v>0.05</v>
      </c>
      <c r="K163">
        <v>337.36</v>
      </c>
      <c r="L163" t="str">
        <f t="shared" si="2"/>
        <v xml:space="preserve">Low </v>
      </c>
    </row>
    <row r="164" spans="1:12" x14ac:dyDescent="0.25">
      <c r="A164" t="s">
        <v>335</v>
      </c>
      <c r="B164" s="1">
        <v>45123</v>
      </c>
      <c r="C164" t="s">
        <v>336</v>
      </c>
      <c r="D164" t="s">
        <v>67</v>
      </c>
      <c r="E164" t="s">
        <v>26</v>
      </c>
      <c r="F164" t="s">
        <v>21</v>
      </c>
      <c r="G164" t="s">
        <v>22</v>
      </c>
      <c r="H164">
        <v>49</v>
      </c>
      <c r="I164">
        <v>88.57</v>
      </c>
      <c r="J164">
        <v>0.1</v>
      </c>
      <c r="K164">
        <v>3905.94</v>
      </c>
      <c r="L164" t="str">
        <f t="shared" si="2"/>
        <v xml:space="preserve">Low </v>
      </c>
    </row>
    <row r="165" spans="1:12" x14ac:dyDescent="0.25">
      <c r="A165" t="s">
        <v>337</v>
      </c>
      <c r="B165" s="1">
        <v>45261</v>
      </c>
      <c r="C165" t="s">
        <v>338</v>
      </c>
      <c r="D165" t="s">
        <v>50</v>
      </c>
      <c r="E165" t="s">
        <v>14</v>
      </c>
      <c r="F165" t="s">
        <v>21</v>
      </c>
      <c r="G165" t="s">
        <v>22</v>
      </c>
      <c r="H165">
        <v>30</v>
      </c>
      <c r="I165">
        <v>81.760000000000005</v>
      </c>
      <c r="J165">
        <v>0</v>
      </c>
      <c r="K165">
        <v>2452.8000000000002</v>
      </c>
      <c r="L165" t="str">
        <f t="shared" si="2"/>
        <v xml:space="preserve">No_Discount </v>
      </c>
    </row>
    <row r="166" spans="1:12" x14ac:dyDescent="0.25">
      <c r="A166" t="s">
        <v>339</v>
      </c>
      <c r="B166" s="1">
        <v>44970</v>
      </c>
      <c r="C166" t="s">
        <v>340</v>
      </c>
      <c r="D166" t="s">
        <v>19</v>
      </c>
      <c r="E166" t="s">
        <v>20</v>
      </c>
      <c r="F166" t="s">
        <v>42</v>
      </c>
      <c r="G166" t="s">
        <v>43</v>
      </c>
      <c r="H166">
        <v>10</v>
      </c>
      <c r="I166">
        <v>339.67</v>
      </c>
      <c r="J166">
        <v>0</v>
      </c>
      <c r="K166">
        <v>3396.7</v>
      </c>
      <c r="L166" t="str">
        <f t="shared" si="2"/>
        <v xml:space="preserve">No_Discount </v>
      </c>
    </row>
    <row r="167" spans="1:12" x14ac:dyDescent="0.25">
      <c r="A167" t="s">
        <v>341</v>
      </c>
      <c r="B167" s="1">
        <v>45231</v>
      </c>
      <c r="C167" t="s">
        <v>342</v>
      </c>
      <c r="D167" t="s">
        <v>39</v>
      </c>
      <c r="E167" t="s">
        <v>60</v>
      </c>
      <c r="F167" t="s">
        <v>32</v>
      </c>
      <c r="G167" t="s">
        <v>22</v>
      </c>
      <c r="H167">
        <v>5</v>
      </c>
      <c r="I167">
        <v>51.34</v>
      </c>
      <c r="J167">
        <v>0.2</v>
      </c>
      <c r="K167">
        <v>205.36</v>
      </c>
      <c r="L167" t="str">
        <f t="shared" si="2"/>
        <v xml:space="preserve">Medium </v>
      </c>
    </row>
    <row r="168" spans="1:12" x14ac:dyDescent="0.25">
      <c r="A168" t="s">
        <v>343</v>
      </c>
      <c r="B168" s="1">
        <v>44943</v>
      </c>
      <c r="C168" t="s">
        <v>344</v>
      </c>
      <c r="D168" t="s">
        <v>99</v>
      </c>
      <c r="E168" t="s">
        <v>14</v>
      </c>
      <c r="F168" t="s">
        <v>82</v>
      </c>
      <c r="G168" t="s">
        <v>43</v>
      </c>
      <c r="H168">
        <v>3</v>
      </c>
      <c r="I168">
        <v>1318.49</v>
      </c>
      <c r="J168">
        <v>0</v>
      </c>
      <c r="K168">
        <v>3955.47</v>
      </c>
      <c r="L168" t="str">
        <f t="shared" si="2"/>
        <v xml:space="preserve">No_Discount </v>
      </c>
    </row>
    <row r="169" spans="1:12" x14ac:dyDescent="0.25">
      <c r="A169" t="s">
        <v>345</v>
      </c>
      <c r="B169" s="1">
        <v>45286</v>
      </c>
      <c r="C169" t="s">
        <v>346</v>
      </c>
      <c r="D169" t="s">
        <v>31</v>
      </c>
      <c r="E169" t="s">
        <v>26</v>
      </c>
      <c r="F169" t="s">
        <v>79</v>
      </c>
      <c r="G169" t="s">
        <v>22</v>
      </c>
      <c r="H169">
        <v>6</v>
      </c>
      <c r="I169">
        <v>35.619999999999997</v>
      </c>
      <c r="J169">
        <v>0</v>
      </c>
      <c r="K169">
        <v>213.72</v>
      </c>
      <c r="L169" t="str">
        <f t="shared" si="2"/>
        <v xml:space="preserve">No_Discount </v>
      </c>
    </row>
    <row r="170" spans="1:12" x14ac:dyDescent="0.25">
      <c r="A170" t="s">
        <v>347</v>
      </c>
      <c r="B170" s="1">
        <v>45080</v>
      </c>
      <c r="C170" t="s">
        <v>348</v>
      </c>
      <c r="D170" t="s">
        <v>76</v>
      </c>
      <c r="E170" t="s">
        <v>26</v>
      </c>
      <c r="F170" t="s">
        <v>42</v>
      </c>
      <c r="G170" t="s">
        <v>43</v>
      </c>
      <c r="H170">
        <v>3</v>
      </c>
      <c r="I170">
        <v>288.41000000000003</v>
      </c>
      <c r="J170">
        <v>0</v>
      </c>
      <c r="K170">
        <v>865.23</v>
      </c>
      <c r="L170" t="str">
        <f t="shared" si="2"/>
        <v xml:space="preserve">No_Discount </v>
      </c>
    </row>
    <row r="171" spans="1:12" x14ac:dyDescent="0.25">
      <c r="A171" t="s">
        <v>349</v>
      </c>
      <c r="B171" s="1">
        <v>45040</v>
      </c>
      <c r="C171" t="s">
        <v>350</v>
      </c>
      <c r="D171" t="s">
        <v>99</v>
      </c>
      <c r="E171" t="s">
        <v>26</v>
      </c>
      <c r="F171" t="s">
        <v>21</v>
      </c>
      <c r="G171" t="s">
        <v>22</v>
      </c>
      <c r="H171">
        <v>26</v>
      </c>
      <c r="I171">
        <v>81.069999999999993</v>
      </c>
      <c r="J171">
        <v>0.2</v>
      </c>
      <c r="K171">
        <v>1686.26</v>
      </c>
      <c r="L171" t="str">
        <f t="shared" si="2"/>
        <v xml:space="preserve">Medium </v>
      </c>
    </row>
    <row r="172" spans="1:12" x14ac:dyDescent="0.25">
      <c r="A172" t="s">
        <v>351</v>
      </c>
      <c r="B172" s="1">
        <v>45170</v>
      </c>
      <c r="C172" t="s">
        <v>352</v>
      </c>
      <c r="D172" t="s">
        <v>76</v>
      </c>
      <c r="E172" t="s">
        <v>60</v>
      </c>
      <c r="F172" t="s">
        <v>15</v>
      </c>
      <c r="G172" t="s">
        <v>16</v>
      </c>
      <c r="H172">
        <v>24</v>
      </c>
      <c r="I172">
        <v>103.65</v>
      </c>
      <c r="J172">
        <v>0</v>
      </c>
      <c r="K172">
        <v>2487.6</v>
      </c>
      <c r="L172" t="str">
        <f t="shared" si="2"/>
        <v xml:space="preserve">No_Discount </v>
      </c>
    </row>
    <row r="173" spans="1:12" x14ac:dyDescent="0.25">
      <c r="A173" t="s">
        <v>353</v>
      </c>
      <c r="B173" s="1">
        <v>45012</v>
      </c>
      <c r="C173" t="s">
        <v>81</v>
      </c>
      <c r="D173" t="s">
        <v>99</v>
      </c>
      <c r="E173" t="s">
        <v>14</v>
      </c>
      <c r="F173" t="s">
        <v>27</v>
      </c>
      <c r="G173" t="s">
        <v>28</v>
      </c>
      <c r="H173">
        <v>45</v>
      </c>
      <c r="I173">
        <v>110.34</v>
      </c>
      <c r="J173">
        <v>0</v>
      </c>
      <c r="K173">
        <v>4965.3</v>
      </c>
      <c r="L173" t="str">
        <f t="shared" si="2"/>
        <v xml:space="preserve">No_Discount </v>
      </c>
    </row>
    <row r="174" spans="1:12" x14ac:dyDescent="0.25">
      <c r="A174" t="s">
        <v>354</v>
      </c>
      <c r="B174" s="1">
        <v>45147</v>
      </c>
      <c r="C174" t="s">
        <v>355</v>
      </c>
      <c r="D174" t="s">
        <v>25</v>
      </c>
      <c r="E174" t="s">
        <v>36</v>
      </c>
      <c r="F174" t="s">
        <v>27</v>
      </c>
      <c r="G174" t="s">
        <v>28</v>
      </c>
      <c r="H174">
        <v>16</v>
      </c>
      <c r="I174">
        <v>137.19</v>
      </c>
      <c r="J174">
        <v>0</v>
      </c>
      <c r="K174">
        <v>2195.04</v>
      </c>
      <c r="L174" t="str">
        <f t="shared" si="2"/>
        <v xml:space="preserve">No_Discount </v>
      </c>
    </row>
    <row r="175" spans="1:12" x14ac:dyDescent="0.25">
      <c r="A175" t="s">
        <v>356</v>
      </c>
      <c r="B175" s="1">
        <v>44985</v>
      </c>
      <c r="C175" t="s">
        <v>357</v>
      </c>
      <c r="D175" t="s">
        <v>25</v>
      </c>
      <c r="E175" t="s">
        <v>26</v>
      </c>
      <c r="F175" t="s">
        <v>79</v>
      </c>
      <c r="G175" t="s">
        <v>22</v>
      </c>
      <c r="H175">
        <v>20</v>
      </c>
      <c r="I175">
        <v>38.549999999999997</v>
      </c>
      <c r="J175">
        <v>0.15</v>
      </c>
      <c r="K175">
        <v>655.35</v>
      </c>
      <c r="L175" t="str">
        <f t="shared" si="2"/>
        <v xml:space="preserve">Medium </v>
      </c>
    </row>
    <row r="176" spans="1:12" x14ac:dyDescent="0.25">
      <c r="A176" t="s">
        <v>358</v>
      </c>
      <c r="B176" s="1">
        <v>45240</v>
      </c>
      <c r="C176" t="s">
        <v>359</v>
      </c>
      <c r="D176" t="s">
        <v>13</v>
      </c>
      <c r="E176" t="s">
        <v>20</v>
      </c>
      <c r="F176" t="s">
        <v>32</v>
      </c>
      <c r="G176" t="s">
        <v>22</v>
      </c>
      <c r="H176">
        <v>23</v>
      </c>
      <c r="I176">
        <v>41.19</v>
      </c>
      <c r="J176">
        <v>0</v>
      </c>
      <c r="K176">
        <v>947.37</v>
      </c>
      <c r="L176" t="str">
        <f t="shared" si="2"/>
        <v xml:space="preserve">No_Discount </v>
      </c>
    </row>
    <row r="177" spans="1:12" x14ac:dyDescent="0.25">
      <c r="A177" t="s">
        <v>360</v>
      </c>
      <c r="B177" s="1">
        <v>45033</v>
      </c>
      <c r="C177" t="s">
        <v>361</v>
      </c>
      <c r="D177" t="s">
        <v>50</v>
      </c>
      <c r="E177" t="s">
        <v>60</v>
      </c>
      <c r="F177" t="s">
        <v>32</v>
      </c>
      <c r="G177" t="s">
        <v>22</v>
      </c>
      <c r="H177">
        <v>13</v>
      </c>
      <c r="I177">
        <v>46.13</v>
      </c>
      <c r="J177">
        <v>0</v>
      </c>
      <c r="K177">
        <v>599.69000000000005</v>
      </c>
      <c r="L177" t="str">
        <f t="shared" si="2"/>
        <v xml:space="preserve">No_Discount </v>
      </c>
    </row>
    <row r="178" spans="1:12" x14ac:dyDescent="0.25">
      <c r="A178" t="s">
        <v>362</v>
      </c>
      <c r="B178" s="1">
        <v>45083</v>
      </c>
      <c r="C178" t="s">
        <v>363</v>
      </c>
      <c r="D178" t="s">
        <v>31</v>
      </c>
      <c r="E178" t="s">
        <v>26</v>
      </c>
      <c r="F178" t="s">
        <v>54</v>
      </c>
      <c r="G178" t="s">
        <v>55</v>
      </c>
      <c r="H178">
        <v>44</v>
      </c>
      <c r="I178">
        <v>5032.8</v>
      </c>
      <c r="J178">
        <v>0.9</v>
      </c>
      <c r="K178">
        <v>22144.32</v>
      </c>
      <c r="L178" t="str">
        <f t="shared" si="2"/>
        <v xml:space="preserve">High </v>
      </c>
    </row>
    <row r="179" spans="1:12" x14ac:dyDescent="0.25">
      <c r="A179" t="s">
        <v>364</v>
      </c>
      <c r="B179" s="1">
        <v>45200</v>
      </c>
      <c r="C179" t="s">
        <v>315</v>
      </c>
      <c r="D179" t="s">
        <v>19</v>
      </c>
      <c r="E179" t="s">
        <v>26</v>
      </c>
      <c r="F179" t="s">
        <v>21</v>
      </c>
      <c r="G179" t="s">
        <v>22</v>
      </c>
      <c r="H179">
        <v>28</v>
      </c>
      <c r="I179">
        <v>76.38</v>
      </c>
      <c r="J179">
        <v>0.2</v>
      </c>
      <c r="K179">
        <v>1710.91</v>
      </c>
      <c r="L179" t="str">
        <f t="shared" si="2"/>
        <v xml:space="preserve">Medium </v>
      </c>
    </row>
    <row r="180" spans="1:12" x14ac:dyDescent="0.25">
      <c r="A180" t="s">
        <v>365</v>
      </c>
      <c r="B180" s="1">
        <v>44932</v>
      </c>
      <c r="C180" t="s">
        <v>366</v>
      </c>
      <c r="D180" t="s">
        <v>39</v>
      </c>
      <c r="E180" t="s">
        <v>60</v>
      </c>
      <c r="F180" t="s">
        <v>54</v>
      </c>
      <c r="G180" t="s">
        <v>55</v>
      </c>
      <c r="H180">
        <v>3</v>
      </c>
      <c r="I180">
        <v>491.16</v>
      </c>
      <c r="J180">
        <v>0.2</v>
      </c>
      <c r="K180">
        <v>1178.78</v>
      </c>
      <c r="L180" t="str">
        <f t="shared" si="2"/>
        <v xml:space="preserve">Medium </v>
      </c>
    </row>
    <row r="181" spans="1:12" x14ac:dyDescent="0.25">
      <c r="A181" t="s">
        <v>367</v>
      </c>
      <c r="B181" s="1">
        <v>45093</v>
      </c>
      <c r="C181" t="s">
        <v>154</v>
      </c>
      <c r="D181" t="s">
        <v>76</v>
      </c>
      <c r="E181" t="s">
        <v>60</v>
      </c>
      <c r="F181" t="s">
        <v>27</v>
      </c>
      <c r="G181" t="s">
        <v>28</v>
      </c>
      <c r="H181">
        <v>13</v>
      </c>
      <c r="I181">
        <v>121.77</v>
      </c>
      <c r="J181">
        <v>0.2</v>
      </c>
      <c r="K181">
        <v>1266.4100000000001</v>
      </c>
      <c r="L181" t="str">
        <f t="shared" si="2"/>
        <v xml:space="preserve">Medium </v>
      </c>
    </row>
    <row r="182" spans="1:12" x14ac:dyDescent="0.25">
      <c r="A182" t="s">
        <v>368</v>
      </c>
      <c r="B182" s="1">
        <v>45251</v>
      </c>
      <c r="C182" t="s">
        <v>369</v>
      </c>
      <c r="D182" t="s">
        <v>67</v>
      </c>
      <c r="E182" t="s">
        <v>14</v>
      </c>
      <c r="F182" t="s">
        <v>42</v>
      </c>
      <c r="G182" t="s">
        <v>43</v>
      </c>
      <c r="H182">
        <v>25</v>
      </c>
      <c r="I182">
        <v>345.71</v>
      </c>
      <c r="J182">
        <v>0.05</v>
      </c>
      <c r="K182">
        <v>8210.61</v>
      </c>
      <c r="L182" t="str">
        <f t="shared" si="2"/>
        <v xml:space="preserve">Low </v>
      </c>
    </row>
    <row r="183" spans="1:12" x14ac:dyDescent="0.25">
      <c r="A183" t="s">
        <v>370</v>
      </c>
      <c r="B183" s="1">
        <v>44984</v>
      </c>
      <c r="C183" t="s">
        <v>371</v>
      </c>
      <c r="D183" t="s">
        <v>50</v>
      </c>
      <c r="E183" t="s">
        <v>60</v>
      </c>
      <c r="F183" t="s">
        <v>42</v>
      </c>
      <c r="G183" t="s">
        <v>43</v>
      </c>
      <c r="H183">
        <v>41</v>
      </c>
      <c r="I183">
        <v>341.46</v>
      </c>
      <c r="J183">
        <v>0.2</v>
      </c>
      <c r="K183">
        <v>11199.89</v>
      </c>
      <c r="L183" t="str">
        <f t="shared" si="2"/>
        <v xml:space="preserve">Medium </v>
      </c>
    </row>
    <row r="184" spans="1:12" x14ac:dyDescent="0.25">
      <c r="A184" t="s">
        <v>372</v>
      </c>
      <c r="B184" s="1">
        <v>45108</v>
      </c>
      <c r="C184" t="s">
        <v>18</v>
      </c>
      <c r="D184" t="s">
        <v>99</v>
      </c>
      <c r="E184" t="s">
        <v>14</v>
      </c>
      <c r="F184" t="s">
        <v>54</v>
      </c>
      <c r="G184" t="s">
        <v>55</v>
      </c>
      <c r="H184">
        <v>35</v>
      </c>
      <c r="I184">
        <v>435.76</v>
      </c>
      <c r="J184">
        <v>0.15</v>
      </c>
      <c r="K184">
        <v>12963.86</v>
      </c>
      <c r="L184" t="str">
        <f t="shared" si="2"/>
        <v xml:space="preserve">Medium </v>
      </c>
    </row>
    <row r="185" spans="1:12" x14ac:dyDescent="0.25">
      <c r="A185" t="s">
        <v>373</v>
      </c>
      <c r="B185" s="1">
        <v>44967</v>
      </c>
      <c r="C185" t="s">
        <v>162</v>
      </c>
      <c r="D185" t="s">
        <v>76</v>
      </c>
      <c r="E185" t="s">
        <v>20</v>
      </c>
      <c r="F185" t="s">
        <v>32</v>
      </c>
      <c r="G185" t="s">
        <v>22</v>
      </c>
      <c r="H185">
        <v>35</v>
      </c>
      <c r="I185">
        <v>43.76</v>
      </c>
      <c r="J185">
        <v>0.05</v>
      </c>
      <c r="K185">
        <v>1455.02</v>
      </c>
      <c r="L185" t="str">
        <f t="shared" si="2"/>
        <v xml:space="preserve">Low </v>
      </c>
    </row>
    <row r="186" spans="1:12" x14ac:dyDescent="0.25">
      <c r="A186" t="s">
        <v>374</v>
      </c>
      <c r="B186" s="1">
        <v>45193</v>
      </c>
      <c r="C186" t="s">
        <v>41</v>
      </c>
      <c r="D186" t="s">
        <v>35</v>
      </c>
      <c r="E186" t="s">
        <v>36</v>
      </c>
      <c r="F186" t="s">
        <v>54</v>
      </c>
      <c r="G186" t="s">
        <v>55</v>
      </c>
      <c r="H186">
        <v>27</v>
      </c>
      <c r="I186">
        <v>427.73</v>
      </c>
      <c r="J186">
        <v>0</v>
      </c>
      <c r="K186">
        <v>11548.71</v>
      </c>
      <c r="L186" t="str">
        <f t="shared" si="2"/>
        <v xml:space="preserve">No_Discount </v>
      </c>
    </row>
    <row r="187" spans="1:12" x14ac:dyDescent="0.25">
      <c r="A187" t="s">
        <v>375</v>
      </c>
      <c r="B187" s="1">
        <v>44999</v>
      </c>
      <c r="C187" t="s">
        <v>376</v>
      </c>
      <c r="D187" t="s">
        <v>19</v>
      </c>
      <c r="E187" t="s">
        <v>60</v>
      </c>
      <c r="F187" t="s">
        <v>79</v>
      </c>
      <c r="G187" t="s">
        <v>22</v>
      </c>
      <c r="H187">
        <v>36</v>
      </c>
      <c r="I187">
        <v>35.69</v>
      </c>
      <c r="J187">
        <v>0.05</v>
      </c>
      <c r="K187">
        <v>1220.5999999999999</v>
      </c>
      <c r="L187" t="str">
        <f t="shared" si="2"/>
        <v xml:space="preserve">Low </v>
      </c>
    </row>
    <row r="188" spans="1:12" x14ac:dyDescent="0.25">
      <c r="A188" t="s">
        <v>377</v>
      </c>
      <c r="B188" s="1">
        <v>44975</v>
      </c>
      <c r="C188" t="s">
        <v>378</v>
      </c>
      <c r="D188" t="s">
        <v>19</v>
      </c>
      <c r="E188" t="s">
        <v>20</v>
      </c>
      <c r="F188" t="s">
        <v>27</v>
      </c>
      <c r="G188" t="s">
        <v>28</v>
      </c>
      <c r="H188">
        <v>29</v>
      </c>
      <c r="I188">
        <v>118.98</v>
      </c>
      <c r="J188">
        <v>0</v>
      </c>
      <c r="K188">
        <v>3450.42</v>
      </c>
      <c r="L188" t="str">
        <f t="shared" si="2"/>
        <v xml:space="preserve">No_Discount </v>
      </c>
    </row>
    <row r="189" spans="1:12" x14ac:dyDescent="0.25">
      <c r="A189" t="s">
        <v>379</v>
      </c>
      <c r="B189" s="1">
        <v>45104</v>
      </c>
      <c r="C189" t="s">
        <v>380</v>
      </c>
      <c r="D189" t="s">
        <v>50</v>
      </c>
      <c r="E189" t="s">
        <v>14</v>
      </c>
      <c r="F189" t="s">
        <v>42</v>
      </c>
      <c r="G189" t="s">
        <v>43</v>
      </c>
      <c r="H189">
        <v>10</v>
      </c>
      <c r="I189">
        <v>317.47000000000003</v>
      </c>
      <c r="J189">
        <v>0.15</v>
      </c>
      <c r="K189">
        <v>2698.5</v>
      </c>
      <c r="L189" t="str">
        <f t="shared" si="2"/>
        <v xml:space="preserve">Medium </v>
      </c>
    </row>
    <row r="190" spans="1:12" x14ac:dyDescent="0.25">
      <c r="A190" t="s">
        <v>381</v>
      </c>
      <c r="B190" s="1">
        <v>44931</v>
      </c>
      <c r="C190" t="s">
        <v>382</v>
      </c>
      <c r="D190" t="s">
        <v>35</v>
      </c>
      <c r="E190" t="s">
        <v>20</v>
      </c>
      <c r="F190" t="s">
        <v>54</v>
      </c>
      <c r="G190" t="s">
        <v>55</v>
      </c>
      <c r="H190">
        <v>24</v>
      </c>
      <c r="I190">
        <v>504.26</v>
      </c>
      <c r="J190">
        <v>0.1</v>
      </c>
      <c r="K190">
        <v>10892.02</v>
      </c>
      <c r="L190" t="str">
        <f t="shared" si="2"/>
        <v xml:space="preserve">Low </v>
      </c>
    </row>
    <row r="191" spans="1:12" x14ac:dyDescent="0.25">
      <c r="A191" t="s">
        <v>383</v>
      </c>
      <c r="B191" s="1">
        <v>45237</v>
      </c>
      <c r="C191" t="s">
        <v>384</v>
      </c>
      <c r="D191" t="s">
        <v>99</v>
      </c>
      <c r="E191" t="s">
        <v>26</v>
      </c>
      <c r="F191" t="s">
        <v>32</v>
      </c>
      <c r="G191" t="s">
        <v>22</v>
      </c>
      <c r="H191">
        <v>9</v>
      </c>
      <c r="I191">
        <v>48.65</v>
      </c>
      <c r="J191">
        <v>0.15</v>
      </c>
      <c r="K191">
        <v>372.17</v>
      </c>
      <c r="L191" t="str">
        <f t="shared" si="2"/>
        <v xml:space="preserve">Medium </v>
      </c>
    </row>
    <row r="192" spans="1:12" x14ac:dyDescent="0.25">
      <c r="A192" t="s">
        <v>385</v>
      </c>
      <c r="B192" s="1">
        <v>45157</v>
      </c>
      <c r="C192" t="s">
        <v>386</v>
      </c>
      <c r="D192" t="s">
        <v>76</v>
      </c>
      <c r="E192" t="s">
        <v>20</v>
      </c>
      <c r="F192" t="s">
        <v>82</v>
      </c>
      <c r="G192" t="s">
        <v>43</v>
      </c>
      <c r="H192">
        <v>46</v>
      </c>
      <c r="I192">
        <v>1324.74</v>
      </c>
      <c r="J192">
        <v>0</v>
      </c>
      <c r="K192">
        <v>60938.04</v>
      </c>
      <c r="L192" t="str">
        <f t="shared" si="2"/>
        <v xml:space="preserve">No_Discount </v>
      </c>
    </row>
    <row r="193" spans="1:12" x14ac:dyDescent="0.25">
      <c r="A193" t="s">
        <v>387</v>
      </c>
      <c r="B193" s="1">
        <v>45270</v>
      </c>
      <c r="C193" t="s">
        <v>186</v>
      </c>
      <c r="D193" t="s">
        <v>50</v>
      </c>
      <c r="E193" t="s">
        <v>20</v>
      </c>
      <c r="F193" t="s">
        <v>27</v>
      </c>
      <c r="G193" t="s">
        <v>28</v>
      </c>
      <c r="H193">
        <v>24</v>
      </c>
      <c r="I193">
        <v>131.57</v>
      </c>
      <c r="J193">
        <v>0</v>
      </c>
      <c r="K193">
        <v>3157.68</v>
      </c>
      <c r="L193" t="str">
        <f t="shared" si="2"/>
        <v xml:space="preserve">No_Discount </v>
      </c>
    </row>
    <row r="194" spans="1:12" x14ac:dyDescent="0.25">
      <c r="A194" t="s">
        <v>388</v>
      </c>
      <c r="B194" s="1">
        <v>45152</v>
      </c>
      <c r="C194" t="s">
        <v>389</v>
      </c>
      <c r="D194" t="s">
        <v>76</v>
      </c>
      <c r="E194" t="s">
        <v>20</v>
      </c>
      <c r="F194" t="s">
        <v>82</v>
      </c>
      <c r="G194" t="s">
        <v>43</v>
      </c>
      <c r="H194">
        <v>3</v>
      </c>
      <c r="I194">
        <v>1355.89</v>
      </c>
      <c r="J194">
        <v>0</v>
      </c>
      <c r="K194">
        <v>4067.67</v>
      </c>
      <c r="L194" t="str">
        <f t="shared" ref="L194:L257" si="3">IF(J194=0, "No_Discount ", IF(J194&lt;=0.1, "Low ", IF(J194&lt;=0.2, "Medium ", "High ")))</f>
        <v xml:space="preserve">No_Discount </v>
      </c>
    </row>
    <row r="195" spans="1:12" x14ac:dyDescent="0.25">
      <c r="A195" t="s">
        <v>390</v>
      </c>
      <c r="B195" s="1">
        <v>45208</v>
      </c>
      <c r="C195" t="s">
        <v>391</v>
      </c>
      <c r="D195" t="s">
        <v>99</v>
      </c>
      <c r="E195" t="s">
        <v>14</v>
      </c>
      <c r="F195" t="s">
        <v>42</v>
      </c>
      <c r="G195" t="s">
        <v>43</v>
      </c>
      <c r="H195">
        <v>35</v>
      </c>
      <c r="I195">
        <v>330.48</v>
      </c>
      <c r="J195">
        <v>0.05</v>
      </c>
      <c r="K195">
        <v>10988.46</v>
      </c>
      <c r="L195" t="str">
        <f t="shared" si="3"/>
        <v xml:space="preserve">Low </v>
      </c>
    </row>
    <row r="196" spans="1:12" x14ac:dyDescent="0.25">
      <c r="A196" t="s">
        <v>241</v>
      </c>
      <c r="B196" s="1">
        <v>45010</v>
      </c>
      <c r="C196" t="s">
        <v>242</v>
      </c>
      <c r="D196" t="s">
        <v>76</v>
      </c>
      <c r="E196" t="s">
        <v>14</v>
      </c>
      <c r="F196" t="s">
        <v>27</v>
      </c>
      <c r="G196" t="s">
        <v>28</v>
      </c>
      <c r="H196">
        <v>24</v>
      </c>
      <c r="I196">
        <v>123.47</v>
      </c>
      <c r="J196">
        <v>0</v>
      </c>
      <c r="K196">
        <v>2963.28</v>
      </c>
      <c r="L196" t="str">
        <f t="shared" si="3"/>
        <v xml:space="preserve">No_Discount </v>
      </c>
    </row>
    <row r="197" spans="1:12" x14ac:dyDescent="0.25">
      <c r="A197" t="s">
        <v>392</v>
      </c>
      <c r="B197" s="1">
        <v>45105</v>
      </c>
      <c r="C197" t="s">
        <v>267</v>
      </c>
      <c r="D197" t="s">
        <v>76</v>
      </c>
      <c r="E197" t="s">
        <v>60</v>
      </c>
      <c r="F197" t="s">
        <v>32</v>
      </c>
      <c r="G197" t="s">
        <v>22</v>
      </c>
      <c r="H197">
        <v>26</v>
      </c>
      <c r="I197">
        <v>50.79</v>
      </c>
      <c r="J197">
        <v>0.1</v>
      </c>
      <c r="K197">
        <v>1188.49</v>
      </c>
      <c r="L197" t="str">
        <f t="shared" si="3"/>
        <v xml:space="preserve">Low </v>
      </c>
    </row>
    <row r="198" spans="1:12" x14ac:dyDescent="0.25">
      <c r="A198" t="s">
        <v>393</v>
      </c>
      <c r="B198" s="1">
        <v>45109</v>
      </c>
      <c r="C198" t="s">
        <v>394</v>
      </c>
      <c r="D198" t="s">
        <v>76</v>
      </c>
      <c r="E198" t="s">
        <v>36</v>
      </c>
      <c r="F198" t="s">
        <v>54</v>
      </c>
      <c r="G198" t="s">
        <v>55</v>
      </c>
      <c r="H198">
        <v>21</v>
      </c>
      <c r="I198">
        <v>499.63</v>
      </c>
      <c r="J198">
        <v>0</v>
      </c>
      <c r="K198">
        <v>10492.23</v>
      </c>
      <c r="L198" t="str">
        <f t="shared" si="3"/>
        <v xml:space="preserve">No_Discount </v>
      </c>
    </row>
    <row r="199" spans="1:12" x14ac:dyDescent="0.25">
      <c r="A199" t="s">
        <v>395</v>
      </c>
      <c r="B199" s="1">
        <v>45028</v>
      </c>
      <c r="C199" t="s">
        <v>396</v>
      </c>
      <c r="D199" t="s">
        <v>50</v>
      </c>
      <c r="E199" t="s">
        <v>14</v>
      </c>
      <c r="F199" t="s">
        <v>27</v>
      </c>
      <c r="G199" t="s">
        <v>28</v>
      </c>
      <c r="H199">
        <v>23</v>
      </c>
      <c r="I199">
        <v>116.68</v>
      </c>
      <c r="J199">
        <v>0</v>
      </c>
      <c r="K199">
        <v>2683.64</v>
      </c>
      <c r="L199" t="str">
        <f t="shared" si="3"/>
        <v xml:space="preserve">No_Discount </v>
      </c>
    </row>
    <row r="200" spans="1:12" x14ac:dyDescent="0.25">
      <c r="A200" t="s">
        <v>397</v>
      </c>
      <c r="B200" s="1">
        <v>45136</v>
      </c>
      <c r="C200" t="s">
        <v>223</v>
      </c>
      <c r="D200" t="s">
        <v>39</v>
      </c>
      <c r="E200" t="s">
        <v>20</v>
      </c>
      <c r="F200" t="s">
        <v>15</v>
      </c>
      <c r="G200" t="s">
        <v>16</v>
      </c>
      <c r="H200">
        <v>24</v>
      </c>
      <c r="I200">
        <v>108.16</v>
      </c>
      <c r="J200">
        <v>0.15</v>
      </c>
      <c r="K200">
        <v>2206.46</v>
      </c>
      <c r="L200" t="str">
        <f t="shared" si="3"/>
        <v xml:space="preserve">Medium </v>
      </c>
    </row>
    <row r="201" spans="1:12" x14ac:dyDescent="0.25">
      <c r="A201" t="s">
        <v>398</v>
      </c>
      <c r="B201" s="1">
        <v>45118</v>
      </c>
      <c r="C201" t="s">
        <v>206</v>
      </c>
      <c r="D201" t="s">
        <v>99</v>
      </c>
      <c r="E201" t="s">
        <v>60</v>
      </c>
      <c r="F201" t="s">
        <v>42</v>
      </c>
      <c r="G201" t="s">
        <v>43</v>
      </c>
      <c r="H201">
        <v>48</v>
      </c>
      <c r="I201">
        <v>318.73</v>
      </c>
      <c r="J201">
        <v>0.2</v>
      </c>
      <c r="K201">
        <v>12239.23</v>
      </c>
      <c r="L201" t="str">
        <f t="shared" si="3"/>
        <v xml:space="preserve">Medium </v>
      </c>
    </row>
    <row r="202" spans="1:12" x14ac:dyDescent="0.25">
      <c r="A202" t="s">
        <v>399</v>
      </c>
      <c r="B202" s="1">
        <v>44938</v>
      </c>
      <c r="C202" t="s">
        <v>400</v>
      </c>
      <c r="D202" t="s">
        <v>19</v>
      </c>
      <c r="E202" t="s">
        <v>20</v>
      </c>
      <c r="F202" t="s">
        <v>32</v>
      </c>
      <c r="G202" t="s">
        <v>22</v>
      </c>
      <c r="H202">
        <v>34</v>
      </c>
      <c r="I202">
        <v>46.48</v>
      </c>
      <c r="J202">
        <v>0.1</v>
      </c>
      <c r="K202">
        <v>1422.29</v>
      </c>
      <c r="L202" t="str">
        <f t="shared" si="3"/>
        <v xml:space="preserve">Low </v>
      </c>
    </row>
    <row r="203" spans="1:12" x14ac:dyDescent="0.25">
      <c r="A203" t="s">
        <v>401</v>
      </c>
      <c r="B203" s="1">
        <v>45140</v>
      </c>
      <c r="C203" t="s">
        <v>402</v>
      </c>
      <c r="D203" t="s">
        <v>53</v>
      </c>
      <c r="E203" t="s">
        <v>26</v>
      </c>
      <c r="F203" t="s">
        <v>79</v>
      </c>
      <c r="G203" t="s">
        <v>22</v>
      </c>
      <c r="H203">
        <v>23</v>
      </c>
      <c r="I203">
        <v>37.85</v>
      </c>
      <c r="J203">
        <v>0</v>
      </c>
      <c r="K203">
        <v>870.55</v>
      </c>
      <c r="L203" t="str">
        <f t="shared" si="3"/>
        <v xml:space="preserve">No_Discount </v>
      </c>
    </row>
    <row r="204" spans="1:12" x14ac:dyDescent="0.25">
      <c r="A204" t="s">
        <v>403</v>
      </c>
      <c r="B204" s="1">
        <v>44977</v>
      </c>
      <c r="C204" t="s">
        <v>404</v>
      </c>
      <c r="D204" t="s">
        <v>13</v>
      </c>
      <c r="E204" t="s">
        <v>36</v>
      </c>
      <c r="F204" t="s">
        <v>15</v>
      </c>
      <c r="G204" t="s">
        <v>16</v>
      </c>
      <c r="H204">
        <v>6</v>
      </c>
      <c r="I204">
        <v>108.77</v>
      </c>
      <c r="J204">
        <v>0.1</v>
      </c>
      <c r="K204">
        <v>587.36</v>
      </c>
      <c r="L204" t="str">
        <f t="shared" si="3"/>
        <v xml:space="preserve">Low </v>
      </c>
    </row>
    <row r="205" spans="1:12" x14ac:dyDescent="0.25">
      <c r="A205" t="s">
        <v>87</v>
      </c>
      <c r="B205" s="1">
        <v>45093</v>
      </c>
      <c r="C205" t="s">
        <v>405</v>
      </c>
      <c r="D205" t="s">
        <v>19</v>
      </c>
      <c r="E205" t="s">
        <v>26</v>
      </c>
      <c r="F205" t="s">
        <v>21</v>
      </c>
      <c r="G205" t="s">
        <v>22</v>
      </c>
      <c r="H205">
        <v>13</v>
      </c>
      <c r="I205">
        <v>80.540000000000006</v>
      </c>
      <c r="J205">
        <v>0.1</v>
      </c>
      <c r="K205">
        <v>942.32</v>
      </c>
      <c r="L205" t="str">
        <f t="shared" si="3"/>
        <v xml:space="preserve">Low </v>
      </c>
    </row>
    <row r="206" spans="1:12" x14ac:dyDescent="0.25">
      <c r="A206" t="s">
        <v>406</v>
      </c>
      <c r="B206" s="1">
        <v>45156</v>
      </c>
      <c r="C206" t="s">
        <v>407</v>
      </c>
      <c r="D206" t="s">
        <v>76</v>
      </c>
      <c r="E206" t="s">
        <v>36</v>
      </c>
      <c r="F206" t="s">
        <v>42</v>
      </c>
      <c r="G206" t="s">
        <v>43</v>
      </c>
      <c r="H206">
        <v>27</v>
      </c>
      <c r="I206">
        <v>311.81</v>
      </c>
      <c r="J206">
        <v>0.2</v>
      </c>
      <c r="K206">
        <v>6735.1</v>
      </c>
      <c r="L206" t="str">
        <f t="shared" si="3"/>
        <v xml:space="preserve">Medium </v>
      </c>
    </row>
    <row r="207" spans="1:12" x14ac:dyDescent="0.25">
      <c r="A207" t="s">
        <v>408</v>
      </c>
      <c r="B207" s="1">
        <v>44930</v>
      </c>
      <c r="C207" t="s">
        <v>409</v>
      </c>
      <c r="D207" t="s">
        <v>31</v>
      </c>
      <c r="E207" t="s">
        <v>14</v>
      </c>
      <c r="F207" t="s">
        <v>27</v>
      </c>
      <c r="G207" t="s">
        <v>28</v>
      </c>
      <c r="H207">
        <v>50</v>
      </c>
      <c r="I207">
        <v>129.69</v>
      </c>
      <c r="J207">
        <v>0.15</v>
      </c>
      <c r="K207">
        <v>5511.82</v>
      </c>
      <c r="L207" t="str">
        <f t="shared" si="3"/>
        <v xml:space="preserve">Medium </v>
      </c>
    </row>
    <row r="208" spans="1:12" x14ac:dyDescent="0.25">
      <c r="A208" t="s">
        <v>410</v>
      </c>
      <c r="B208" s="1">
        <v>44996</v>
      </c>
      <c r="C208" t="s">
        <v>411</v>
      </c>
      <c r="D208" t="s">
        <v>67</v>
      </c>
      <c r="E208" t="s">
        <v>14</v>
      </c>
      <c r="F208" t="s">
        <v>42</v>
      </c>
      <c r="G208" t="s">
        <v>43</v>
      </c>
      <c r="H208">
        <v>12</v>
      </c>
      <c r="I208">
        <v>364.97</v>
      </c>
      <c r="J208">
        <v>0</v>
      </c>
      <c r="K208">
        <v>4379.6400000000003</v>
      </c>
      <c r="L208" t="str">
        <f t="shared" si="3"/>
        <v xml:space="preserve">No_Discount </v>
      </c>
    </row>
    <row r="209" spans="1:12" x14ac:dyDescent="0.25">
      <c r="A209" t="s">
        <v>412</v>
      </c>
      <c r="B209" s="1">
        <v>45178</v>
      </c>
      <c r="C209" t="s">
        <v>413</v>
      </c>
      <c r="D209" t="s">
        <v>67</v>
      </c>
      <c r="E209" t="s">
        <v>36</v>
      </c>
      <c r="F209" t="s">
        <v>27</v>
      </c>
      <c r="G209" t="s">
        <v>28</v>
      </c>
      <c r="H209">
        <v>15</v>
      </c>
      <c r="I209">
        <v>126.87</v>
      </c>
      <c r="J209">
        <v>0</v>
      </c>
      <c r="K209">
        <v>1903.05</v>
      </c>
      <c r="L209" t="str">
        <f t="shared" si="3"/>
        <v xml:space="preserve">No_Discount </v>
      </c>
    </row>
    <row r="210" spans="1:12" x14ac:dyDescent="0.25">
      <c r="A210" t="s">
        <v>414</v>
      </c>
      <c r="B210" s="1">
        <v>45016</v>
      </c>
      <c r="C210" t="s">
        <v>415</v>
      </c>
      <c r="D210" t="s">
        <v>53</v>
      </c>
      <c r="E210" t="s">
        <v>60</v>
      </c>
      <c r="F210" t="s">
        <v>27</v>
      </c>
      <c r="G210" t="s">
        <v>28</v>
      </c>
      <c r="H210">
        <v>29</v>
      </c>
      <c r="I210">
        <v>132.28</v>
      </c>
      <c r="J210">
        <v>0.1</v>
      </c>
      <c r="K210">
        <v>3452.51</v>
      </c>
      <c r="L210" t="str">
        <f t="shared" si="3"/>
        <v xml:space="preserve">Low </v>
      </c>
    </row>
    <row r="211" spans="1:12" x14ac:dyDescent="0.25">
      <c r="A211" t="s">
        <v>416</v>
      </c>
      <c r="B211" s="1">
        <v>44959</v>
      </c>
      <c r="C211" t="s">
        <v>115</v>
      </c>
      <c r="D211" t="s">
        <v>53</v>
      </c>
      <c r="E211" t="s">
        <v>60</v>
      </c>
      <c r="F211" t="s">
        <v>54</v>
      </c>
      <c r="G211" t="s">
        <v>55</v>
      </c>
      <c r="H211">
        <v>33</v>
      </c>
      <c r="I211">
        <v>410.91</v>
      </c>
      <c r="J211">
        <v>0.15</v>
      </c>
      <c r="K211">
        <v>11526.03</v>
      </c>
      <c r="L211" t="str">
        <f t="shared" si="3"/>
        <v xml:space="preserve">Medium </v>
      </c>
    </row>
    <row r="212" spans="1:12" x14ac:dyDescent="0.25">
      <c r="A212" t="s">
        <v>417</v>
      </c>
      <c r="B212" s="1">
        <v>45081</v>
      </c>
      <c r="C212" t="s">
        <v>418</v>
      </c>
      <c r="D212" t="s">
        <v>35</v>
      </c>
      <c r="E212" t="s">
        <v>20</v>
      </c>
      <c r="F212" t="s">
        <v>32</v>
      </c>
      <c r="G212" t="s">
        <v>22</v>
      </c>
      <c r="H212">
        <v>5</v>
      </c>
      <c r="I212">
        <v>43.23</v>
      </c>
      <c r="J212">
        <v>0.05</v>
      </c>
      <c r="K212">
        <v>205.34</v>
      </c>
      <c r="L212" t="str">
        <f t="shared" si="3"/>
        <v xml:space="preserve">Low </v>
      </c>
    </row>
    <row r="213" spans="1:12" x14ac:dyDescent="0.25">
      <c r="A213" t="s">
        <v>419</v>
      </c>
      <c r="B213" s="1">
        <v>45082</v>
      </c>
      <c r="C213" t="s">
        <v>12</v>
      </c>
      <c r="D213" t="s">
        <v>67</v>
      </c>
      <c r="E213" t="s">
        <v>14</v>
      </c>
      <c r="F213" t="s">
        <v>27</v>
      </c>
      <c r="G213" t="s">
        <v>28</v>
      </c>
      <c r="H213">
        <v>25</v>
      </c>
      <c r="I213">
        <v>128.78</v>
      </c>
      <c r="J213">
        <v>0.05</v>
      </c>
      <c r="K213">
        <v>3058.52</v>
      </c>
      <c r="L213" t="str">
        <f t="shared" si="3"/>
        <v xml:space="preserve">Low </v>
      </c>
    </row>
    <row r="214" spans="1:12" x14ac:dyDescent="0.25">
      <c r="A214" t="s">
        <v>420</v>
      </c>
      <c r="B214" s="1">
        <v>45138</v>
      </c>
      <c r="C214" t="s">
        <v>111</v>
      </c>
      <c r="D214" t="s">
        <v>35</v>
      </c>
      <c r="E214" t="s">
        <v>60</v>
      </c>
      <c r="F214" t="s">
        <v>54</v>
      </c>
      <c r="G214" t="s">
        <v>55</v>
      </c>
      <c r="H214">
        <v>28</v>
      </c>
      <c r="I214">
        <v>437.36</v>
      </c>
      <c r="J214">
        <v>0</v>
      </c>
      <c r="K214">
        <v>12246.08</v>
      </c>
      <c r="L214" t="str">
        <f t="shared" si="3"/>
        <v xml:space="preserve">No_Discount </v>
      </c>
    </row>
    <row r="215" spans="1:12" x14ac:dyDescent="0.25">
      <c r="A215" t="s">
        <v>421</v>
      </c>
      <c r="B215" s="1">
        <v>45130</v>
      </c>
      <c r="C215" t="s">
        <v>422</v>
      </c>
      <c r="D215" t="s">
        <v>13</v>
      </c>
      <c r="E215" t="s">
        <v>26</v>
      </c>
      <c r="F215" t="s">
        <v>82</v>
      </c>
      <c r="G215" t="s">
        <v>43</v>
      </c>
      <c r="H215">
        <v>4</v>
      </c>
      <c r="I215">
        <v>1222.1199999999999</v>
      </c>
      <c r="J215">
        <v>0</v>
      </c>
      <c r="K215">
        <v>4888.4799999999996</v>
      </c>
      <c r="L215" t="str">
        <f t="shared" si="3"/>
        <v xml:space="preserve">No_Discount </v>
      </c>
    </row>
    <row r="216" spans="1:12" x14ac:dyDescent="0.25">
      <c r="A216" t="s">
        <v>423</v>
      </c>
      <c r="B216" s="1">
        <v>45023</v>
      </c>
      <c r="C216" t="s">
        <v>239</v>
      </c>
      <c r="D216" t="s">
        <v>99</v>
      </c>
      <c r="E216" t="s">
        <v>36</v>
      </c>
      <c r="F216" t="s">
        <v>79</v>
      </c>
      <c r="G216" t="s">
        <v>22</v>
      </c>
      <c r="H216">
        <v>50</v>
      </c>
      <c r="I216">
        <v>37.57</v>
      </c>
      <c r="J216">
        <v>0</v>
      </c>
      <c r="K216">
        <v>1878.5</v>
      </c>
      <c r="L216" t="str">
        <f t="shared" si="3"/>
        <v xml:space="preserve">No_Discount </v>
      </c>
    </row>
    <row r="217" spans="1:12" x14ac:dyDescent="0.25">
      <c r="A217" t="s">
        <v>424</v>
      </c>
      <c r="B217" s="1">
        <v>45126</v>
      </c>
      <c r="C217" t="s">
        <v>425</v>
      </c>
      <c r="D217" t="s">
        <v>67</v>
      </c>
      <c r="E217" t="s">
        <v>60</v>
      </c>
      <c r="F217" t="s">
        <v>32</v>
      </c>
      <c r="G217" t="s">
        <v>22</v>
      </c>
      <c r="H217">
        <v>35</v>
      </c>
      <c r="I217">
        <v>47.23</v>
      </c>
      <c r="J217">
        <v>0.15</v>
      </c>
      <c r="K217">
        <v>1405.09</v>
      </c>
      <c r="L217" t="str">
        <f t="shared" si="3"/>
        <v xml:space="preserve">Medium </v>
      </c>
    </row>
    <row r="218" spans="1:12" x14ac:dyDescent="0.25">
      <c r="A218" t="s">
        <v>426</v>
      </c>
      <c r="B218" s="1">
        <v>44979</v>
      </c>
      <c r="C218" t="s">
        <v>427</v>
      </c>
      <c r="D218" t="s">
        <v>13</v>
      </c>
      <c r="E218" t="s">
        <v>20</v>
      </c>
      <c r="F218" t="s">
        <v>42</v>
      </c>
      <c r="G218" t="s">
        <v>43</v>
      </c>
      <c r="H218">
        <v>24</v>
      </c>
      <c r="I218">
        <v>363.88</v>
      </c>
      <c r="J218">
        <v>0</v>
      </c>
      <c r="K218">
        <v>8733.1200000000008</v>
      </c>
      <c r="L218" t="str">
        <f t="shared" si="3"/>
        <v xml:space="preserve">No_Discount </v>
      </c>
    </row>
    <row r="219" spans="1:12" x14ac:dyDescent="0.25">
      <c r="A219" t="s">
        <v>428</v>
      </c>
      <c r="B219" s="1">
        <v>45202</v>
      </c>
      <c r="C219" t="s">
        <v>429</v>
      </c>
      <c r="D219" t="s">
        <v>39</v>
      </c>
      <c r="E219" t="s">
        <v>20</v>
      </c>
      <c r="F219" t="s">
        <v>54</v>
      </c>
      <c r="G219" t="s">
        <v>55</v>
      </c>
      <c r="H219">
        <v>20</v>
      </c>
      <c r="I219">
        <v>428.01</v>
      </c>
      <c r="J219">
        <v>0.1</v>
      </c>
      <c r="K219">
        <v>7704.18</v>
      </c>
      <c r="L219" t="str">
        <f t="shared" si="3"/>
        <v xml:space="preserve">Low </v>
      </c>
    </row>
    <row r="220" spans="1:12" x14ac:dyDescent="0.25">
      <c r="A220" t="s">
        <v>430</v>
      </c>
      <c r="B220" s="1">
        <v>45271</v>
      </c>
      <c r="C220" t="s">
        <v>380</v>
      </c>
      <c r="D220" t="s">
        <v>19</v>
      </c>
      <c r="E220" t="s">
        <v>14</v>
      </c>
      <c r="F220" t="s">
        <v>27</v>
      </c>
      <c r="G220" t="s">
        <v>28</v>
      </c>
      <c r="H220">
        <v>28</v>
      </c>
      <c r="I220">
        <v>117.06</v>
      </c>
      <c r="J220">
        <v>0</v>
      </c>
      <c r="K220">
        <v>3277.68</v>
      </c>
      <c r="L220" t="str">
        <f t="shared" si="3"/>
        <v xml:space="preserve">No_Discount </v>
      </c>
    </row>
    <row r="221" spans="1:12" x14ac:dyDescent="0.25">
      <c r="A221" t="s">
        <v>431</v>
      </c>
      <c r="B221" s="1">
        <v>44962</v>
      </c>
      <c r="C221" t="s">
        <v>432</v>
      </c>
      <c r="D221" t="s">
        <v>76</v>
      </c>
      <c r="E221" t="s">
        <v>36</v>
      </c>
      <c r="F221" t="s">
        <v>42</v>
      </c>
      <c r="G221" t="s">
        <v>43</v>
      </c>
      <c r="H221">
        <v>8</v>
      </c>
      <c r="I221">
        <v>348.3</v>
      </c>
      <c r="J221">
        <v>0</v>
      </c>
      <c r="K221">
        <v>2786.4</v>
      </c>
      <c r="L221" t="str">
        <f t="shared" si="3"/>
        <v xml:space="preserve">No_Discount </v>
      </c>
    </row>
    <row r="222" spans="1:12" x14ac:dyDescent="0.25">
      <c r="A222" t="s">
        <v>433</v>
      </c>
      <c r="B222" s="1">
        <v>45080</v>
      </c>
      <c r="C222" t="s">
        <v>41</v>
      </c>
      <c r="D222" t="s">
        <v>53</v>
      </c>
      <c r="E222" t="s">
        <v>26</v>
      </c>
      <c r="F222" t="s">
        <v>32</v>
      </c>
      <c r="G222" t="s">
        <v>22</v>
      </c>
      <c r="H222">
        <v>2</v>
      </c>
      <c r="I222">
        <v>40.76</v>
      </c>
      <c r="J222">
        <v>0</v>
      </c>
      <c r="K222">
        <v>81.52</v>
      </c>
      <c r="L222" t="str">
        <f t="shared" si="3"/>
        <v xml:space="preserve">No_Discount </v>
      </c>
    </row>
    <row r="223" spans="1:12" x14ac:dyDescent="0.25">
      <c r="A223" t="s">
        <v>434</v>
      </c>
      <c r="B223" s="1">
        <v>45253</v>
      </c>
      <c r="C223" t="s">
        <v>435</v>
      </c>
      <c r="D223" t="s">
        <v>99</v>
      </c>
      <c r="E223" t="s">
        <v>60</v>
      </c>
      <c r="F223" t="s">
        <v>27</v>
      </c>
      <c r="G223" t="s">
        <v>28</v>
      </c>
      <c r="H223">
        <v>19</v>
      </c>
      <c r="I223">
        <v>114.55</v>
      </c>
      <c r="J223">
        <v>0.2</v>
      </c>
      <c r="K223">
        <v>1741.16</v>
      </c>
      <c r="L223" t="str">
        <f t="shared" si="3"/>
        <v xml:space="preserve">Medium </v>
      </c>
    </row>
    <row r="224" spans="1:12" x14ac:dyDescent="0.25">
      <c r="A224" t="s">
        <v>436</v>
      </c>
      <c r="B224" s="1">
        <v>45209</v>
      </c>
      <c r="C224" t="s">
        <v>223</v>
      </c>
      <c r="D224" t="s">
        <v>99</v>
      </c>
      <c r="E224" t="s">
        <v>14</v>
      </c>
      <c r="F224" t="s">
        <v>15</v>
      </c>
      <c r="G224" t="s">
        <v>16</v>
      </c>
      <c r="H224">
        <v>14</v>
      </c>
      <c r="I224">
        <v>95.46</v>
      </c>
      <c r="J224">
        <v>0</v>
      </c>
      <c r="K224">
        <v>1336.44</v>
      </c>
      <c r="L224" t="str">
        <f t="shared" si="3"/>
        <v xml:space="preserve">No_Discount </v>
      </c>
    </row>
    <row r="225" spans="1:12" x14ac:dyDescent="0.25">
      <c r="A225" t="s">
        <v>437</v>
      </c>
      <c r="B225" s="1">
        <v>45022</v>
      </c>
      <c r="C225" t="s">
        <v>41</v>
      </c>
      <c r="D225" t="s">
        <v>76</v>
      </c>
      <c r="E225" t="s">
        <v>26</v>
      </c>
      <c r="F225" t="s">
        <v>42</v>
      </c>
      <c r="G225" t="s">
        <v>43</v>
      </c>
      <c r="H225">
        <v>12</v>
      </c>
      <c r="I225">
        <v>347.24</v>
      </c>
      <c r="J225">
        <v>0</v>
      </c>
      <c r="K225">
        <v>4166.88</v>
      </c>
      <c r="L225" t="str">
        <f t="shared" si="3"/>
        <v xml:space="preserve">No_Discount </v>
      </c>
    </row>
    <row r="226" spans="1:12" x14ac:dyDescent="0.25">
      <c r="A226" t="s">
        <v>438</v>
      </c>
      <c r="B226" s="1">
        <v>45162</v>
      </c>
      <c r="C226" t="s">
        <v>202</v>
      </c>
      <c r="D226" t="s">
        <v>35</v>
      </c>
      <c r="E226" t="s">
        <v>14</v>
      </c>
      <c r="F226" t="s">
        <v>79</v>
      </c>
      <c r="G226" t="s">
        <v>22</v>
      </c>
      <c r="H226">
        <v>3</v>
      </c>
      <c r="I226">
        <v>33.67</v>
      </c>
      <c r="J226">
        <v>0.2</v>
      </c>
      <c r="K226">
        <v>80.81</v>
      </c>
      <c r="L226" t="str">
        <f t="shared" si="3"/>
        <v xml:space="preserve">Medium </v>
      </c>
    </row>
    <row r="227" spans="1:12" x14ac:dyDescent="0.25">
      <c r="A227" t="s">
        <v>439</v>
      </c>
      <c r="B227" s="1">
        <v>45068</v>
      </c>
      <c r="C227" t="s">
        <v>440</v>
      </c>
      <c r="D227" t="s">
        <v>35</v>
      </c>
      <c r="E227" t="s">
        <v>36</v>
      </c>
      <c r="F227" t="s">
        <v>15</v>
      </c>
      <c r="G227" t="s">
        <v>16</v>
      </c>
      <c r="H227">
        <v>25</v>
      </c>
      <c r="I227">
        <v>87.89</v>
      </c>
      <c r="J227">
        <v>0</v>
      </c>
      <c r="K227">
        <v>2197.25</v>
      </c>
      <c r="L227" t="str">
        <f t="shared" si="3"/>
        <v xml:space="preserve">No_Discount </v>
      </c>
    </row>
    <row r="228" spans="1:12" x14ac:dyDescent="0.25">
      <c r="A228" t="s">
        <v>441</v>
      </c>
      <c r="B228" s="1">
        <v>45197</v>
      </c>
      <c r="C228" t="s">
        <v>442</v>
      </c>
      <c r="D228" t="s">
        <v>25</v>
      </c>
      <c r="E228" t="s">
        <v>26</v>
      </c>
      <c r="F228" t="s">
        <v>82</v>
      </c>
      <c r="G228" t="s">
        <v>43</v>
      </c>
      <c r="H228">
        <v>37</v>
      </c>
      <c r="I228">
        <v>1204.9000000000001</v>
      </c>
      <c r="J228">
        <v>0.15</v>
      </c>
      <c r="K228">
        <v>37894.11</v>
      </c>
      <c r="L228" t="str">
        <f t="shared" si="3"/>
        <v xml:space="preserve">Medium </v>
      </c>
    </row>
    <row r="229" spans="1:12" x14ac:dyDescent="0.25">
      <c r="A229" t="s">
        <v>443</v>
      </c>
      <c r="B229" s="1">
        <v>45051</v>
      </c>
      <c r="C229" t="s">
        <v>190</v>
      </c>
      <c r="D229" t="s">
        <v>39</v>
      </c>
      <c r="E229" t="s">
        <v>60</v>
      </c>
      <c r="F229" t="s">
        <v>82</v>
      </c>
      <c r="G229" t="s">
        <v>43</v>
      </c>
      <c r="H229">
        <v>22</v>
      </c>
      <c r="I229">
        <v>1127.9100000000001</v>
      </c>
      <c r="J229">
        <v>0</v>
      </c>
      <c r="K229">
        <v>24814.02</v>
      </c>
      <c r="L229" t="str">
        <f t="shared" si="3"/>
        <v xml:space="preserve">No_Discount </v>
      </c>
    </row>
    <row r="230" spans="1:12" x14ac:dyDescent="0.25">
      <c r="A230" t="s">
        <v>444</v>
      </c>
      <c r="B230" s="1">
        <v>44950</v>
      </c>
      <c r="C230" t="s">
        <v>168</v>
      </c>
      <c r="D230" t="s">
        <v>50</v>
      </c>
      <c r="E230" t="s">
        <v>20</v>
      </c>
      <c r="F230" t="s">
        <v>15</v>
      </c>
      <c r="G230" t="s">
        <v>16</v>
      </c>
      <c r="H230">
        <v>37</v>
      </c>
      <c r="I230">
        <v>108.99</v>
      </c>
      <c r="J230">
        <v>0.2</v>
      </c>
      <c r="K230">
        <v>3226.1</v>
      </c>
      <c r="L230" t="str">
        <f t="shared" si="3"/>
        <v xml:space="preserve">Medium </v>
      </c>
    </row>
    <row r="231" spans="1:12" x14ac:dyDescent="0.25">
      <c r="A231" t="s">
        <v>445</v>
      </c>
      <c r="B231" s="1">
        <v>45232</v>
      </c>
      <c r="C231" t="s">
        <v>446</v>
      </c>
      <c r="D231" t="s">
        <v>35</v>
      </c>
      <c r="E231" t="s">
        <v>20</v>
      </c>
      <c r="F231" t="s">
        <v>82</v>
      </c>
      <c r="G231" t="s">
        <v>43</v>
      </c>
      <c r="H231">
        <v>50</v>
      </c>
      <c r="I231">
        <v>1084.5999999999999</v>
      </c>
      <c r="J231">
        <v>0</v>
      </c>
      <c r="K231">
        <v>54230</v>
      </c>
      <c r="L231" t="str">
        <f t="shared" si="3"/>
        <v xml:space="preserve">No_Discount </v>
      </c>
    </row>
    <row r="232" spans="1:12" x14ac:dyDescent="0.25">
      <c r="A232" t="s">
        <v>447</v>
      </c>
      <c r="B232" s="1">
        <v>45143</v>
      </c>
      <c r="C232" t="s">
        <v>196</v>
      </c>
      <c r="D232" t="s">
        <v>31</v>
      </c>
      <c r="E232" t="s">
        <v>20</v>
      </c>
      <c r="F232" t="s">
        <v>21</v>
      </c>
      <c r="G232" t="s">
        <v>22</v>
      </c>
      <c r="H232">
        <v>4</v>
      </c>
      <c r="I232">
        <v>91.99</v>
      </c>
      <c r="J232">
        <v>0.2</v>
      </c>
      <c r="K232">
        <v>294.37</v>
      </c>
      <c r="L232" t="str">
        <f t="shared" si="3"/>
        <v xml:space="preserve">Medium </v>
      </c>
    </row>
    <row r="233" spans="1:12" x14ac:dyDescent="0.25">
      <c r="A233" t="s">
        <v>448</v>
      </c>
      <c r="B233" s="1">
        <v>44941</v>
      </c>
      <c r="C233" t="s">
        <v>418</v>
      </c>
      <c r="D233" t="s">
        <v>39</v>
      </c>
      <c r="E233" t="s">
        <v>14</v>
      </c>
      <c r="F233" t="s">
        <v>42</v>
      </c>
      <c r="G233" t="s">
        <v>43</v>
      </c>
      <c r="H233">
        <v>21</v>
      </c>
      <c r="I233">
        <v>292.52</v>
      </c>
      <c r="J233">
        <v>0.2</v>
      </c>
      <c r="K233">
        <v>4914.34</v>
      </c>
      <c r="L233" t="str">
        <f t="shared" si="3"/>
        <v xml:space="preserve">Medium </v>
      </c>
    </row>
    <row r="234" spans="1:12" x14ac:dyDescent="0.25">
      <c r="A234" t="s">
        <v>449</v>
      </c>
      <c r="B234" s="1">
        <v>45170</v>
      </c>
      <c r="C234" t="s">
        <v>450</v>
      </c>
      <c r="D234" t="s">
        <v>31</v>
      </c>
      <c r="E234" t="s">
        <v>36</v>
      </c>
      <c r="F234" t="s">
        <v>27</v>
      </c>
      <c r="G234" t="s">
        <v>28</v>
      </c>
      <c r="H234">
        <v>29</v>
      </c>
      <c r="I234">
        <v>118.59</v>
      </c>
      <c r="J234">
        <v>0</v>
      </c>
      <c r="K234">
        <v>3439.11</v>
      </c>
      <c r="L234" t="str">
        <f t="shared" si="3"/>
        <v xml:space="preserve">No_Discount </v>
      </c>
    </row>
    <row r="235" spans="1:12" x14ac:dyDescent="0.25">
      <c r="A235" t="s">
        <v>451</v>
      </c>
      <c r="B235" s="1">
        <v>45171</v>
      </c>
      <c r="C235" t="s">
        <v>452</v>
      </c>
      <c r="D235" t="s">
        <v>50</v>
      </c>
      <c r="E235" t="s">
        <v>36</v>
      </c>
      <c r="F235" t="s">
        <v>82</v>
      </c>
      <c r="G235" t="s">
        <v>43</v>
      </c>
      <c r="H235">
        <v>25</v>
      </c>
      <c r="I235">
        <v>1358.73</v>
      </c>
      <c r="J235">
        <v>0.2</v>
      </c>
      <c r="K235">
        <v>27174.6</v>
      </c>
      <c r="L235" t="str">
        <f t="shared" si="3"/>
        <v xml:space="preserve">Medium </v>
      </c>
    </row>
    <row r="236" spans="1:12" x14ac:dyDescent="0.25">
      <c r="A236" t="s">
        <v>453</v>
      </c>
      <c r="B236" s="1">
        <v>45053</v>
      </c>
      <c r="C236" t="s">
        <v>162</v>
      </c>
      <c r="D236" t="s">
        <v>76</v>
      </c>
      <c r="E236" t="s">
        <v>36</v>
      </c>
      <c r="F236" t="s">
        <v>42</v>
      </c>
      <c r="G236" t="s">
        <v>43</v>
      </c>
      <c r="H236">
        <v>48</v>
      </c>
      <c r="I236">
        <v>358.27</v>
      </c>
      <c r="J236">
        <v>0</v>
      </c>
      <c r="K236">
        <v>17196.96</v>
      </c>
      <c r="L236" t="str">
        <f t="shared" si="3"/>
        <v xml:space="preserve">No_Discount </v>
      </c>
    </row>
    <row r="237" spans="1:12" x14ac:dyDescent="0.25">
      <c r="A237" t="s">
        <v>454</v>
      </c>
      <c r="B237" s="1">
        <v>44974</v>
      </c>
      <c r="C237" t="s">
        <v>455</v>
      </c>
      <c r="D237" t="s">
        <v>31</v>
      </c>
      <c r="E237" t="s">
        <v>14</v>
      </c>
      <c r="F237" t="s">
        <v>32</v>
      </c>
      <c r="G237" t="s">
        <v>22</v>
      </c>
      <c r="H237">
        <v>41</v>
      </c>
      <c r="I237">
        <v>48.11</v>
      </c>
      <c r="J237">
        <v>0.1</v>
      </c>
      <c r="K237">
        <v>1775.26</v>
      </c>
      <c r="L237" t="str">
        <f t="shared" si="3"/>
        <v xml:space="preserve">Low </v>
      </c>
    </row>
    <row r="238" spans="1:12" x14ac:dyDescent="0.25">
      <c r="A238" t="s">
        <v>456</v>
      </c>
      <c r="B238" s="1">
        <v>45091</v>
      </c>
      <c r="C238" t="s">
        <v>404</v>
      </c>
      <c r="D238" t="s">
        <v>50</v>
      </c>
      <c r="E238" t="s">
        <v>26</v>
      </c>
      <c r="F238" t="s">
        <v>79</v>
      </c>
      <c r="G238" t="s">
        <v>22</v>
      </c>
      <c r="H238">
        <v>44</v>
      </c>
      <c r="I238">
        <v>39.17</v>
      </c>
      <c r="J238">
        <v>0.05</v>
      </c>
      <c r="K238">
        <v>1637.31</v>
      </c>
      <c r="L238" t="str">
        <f t="shared" si="3"/>
        <v xml:space="preserve">Low </v>
      </c>
    </row>
    <row r="239" spans="1:12" x14ac:dyDescent="0.25">
      <c r="A239" t="s">
        <v>457</v>
      </c>
      <c r="B239" s="1">
        <v>45118</v>
      </c>
      <c r="C239" t="s">
        <v>442</v>
      </c>
      <c r="D239" t="s">
        <v>35</v>
      </c>
      <c r="E239" t="s">
        <v>36</v>
      </c>
      <c r="F239" t="s">
        <v>82</v>
      </c>
      <c r="G239" t="s">
        <v>43</v>
      </c>
      <c r="H239">
        <v>44</v>
      </c>
      <c r="I239">
        <v>1303.74</v>
      </c>
      <c r="J239">
        <v>0.1</v>
      </c>
      <c r="K239">
        <v>51628.1</v>
      </c>
      <c r="L239" t="str">
        <f t="shared" si="3"/>
        <v xml:space="preserve">Low </v>
      </c>
    </row>
    <row r="240" spans="1:12" x14ac:dyDescent="0.25">
      <c r="A240" t="s">
        <v>458</v>
      </c>
      <c r="B240" s="1">
        <v>45143</v>
      </c>
      <c r="C240" t="s">
        <v>459</v>
      </c>
      <c r="D240" t="s">
        <v>76</v>
      </c>
      <c r="E240" t="s">
        <v>60</v>
      </c>
      <c r="F240" t="s">
        <v>15</v>
      </c>
      <c r="G240" t="s">
        <v>16</v>
      </c>
      <c r="H240">
        <v>32</v>
      </c>
      <c r="I240">
        <v>97.43</v>
      </c>
      <c r="J240">
        <v>0</v>
      </c>
      <c r="K240">
        <v>3117.76</v>
      </c>
      <c r="L240" t="str">
        <f t="shared" si="3"/>
        <v xml:space="preserve">No_Discount </v>
      </c>
    </row>
    <row r="241" spans="1:12" x14ac:dyDescent="0.25">
      <c r="A241" t="s">
        <v>460</v>
      </c>
      <c r="B241" s="1">
        <v>45036</v>
      </c>
      <c r="C241" t="s">
        <v>461</v>
      </c>
      <c r="D241" t="s">
        <v>53</v>
      </c>
      <c r="E241" t="s">
        <v>36</v>
      </c>
      <c r="F241" t="s">
        <v>54</v>
      </c>
      <c r="G241" t="s">
        <v>55</v>
      </c>
      <c r="H241">
        <v>11</v>
      </c>
      <c r="I241">
        <v>438.95</v>
      </c>
      <c r="J241">
        <v>0</v>
      </c>
      <c r="K241">
        <v>4828.45</v>
      </c>
      <c r="L241" t="str">
        <f t="shared" si="3"/>
        <v xml:space="preserve">No_Discount </v>
      </c>
    </row>
    <row r="242" spans="1:12" x14ac:dyDescent="0.25">
      <c r="A242" t="s">
        <v>462</v>
      </c>
      <c r="B242" s="1">
        <v>45277</v>
      </c>
      <c r="C242" t="s">
        <v>402</v>
      </c>
      <c r="D242" t="s">
        <v>35</v>
      </c>
      <c r="E242" t="s">
        <v>26</v>
      </c>
      <c r="F242" t="s">
        <v>21</v>
      </c>
      <c r="G242" t="s">
        <v>22</v>
      </c>
      <c r="H242">
        <v>38</v>
      </c>
      <c r="I242">
        <v>78.599999999999994</v>
      </c>
      <c r="J242">
        <v>0</v>
      </c>
      <c r="K242">
        <v>2986.8</v>
      </c>
      <c r="L242" t="str">
        <f t="shared" si="3"/>
        <v xml:space="preserve">No_Discount </v>
      </c>
    </row>
    <row r="243" spans="1:12" x14ac:dyDescent="0.25">
      <c r="A243" t="s">
        <v>463</v>
      </c>
      <c r="B243" s="1">
        <v>45094</v>
      </c>
      <c r="C243" t="s">
        <v>151</v>
      </c>
      <c r="D243" t="s">
        <v>99</v>
      </c>
      <c r="E243" t="s">
        <v>26</v>
      </c>
      <c r="F243" t="s">
        <v>42</v>
      </c>
      <c r="G243" t="s">
        <v>43</v>
      </c>
      <c r="H243">
        <v>24</v>
      </c>
      <c r="I243">
        <v>350.09</v>
      </c>
      <c r="J243">
        <v>0.1</v>
      </c>
      <c r="K243">
        <v>7561.94</v>
      </c>
      <c r="L243" t="str">
        <f t="shared" si="3"/>
        <v xml:space="preserve">Low </v>
      </c>
    </row>
    <row r="244" spans="1:12" x14ac:dyDescent="0.25">
      <c r="A244" t="s">
        <v>464</v>
      </c>
      <c r="B244" s="1">
        <v>44940</v>
      </c>
      <c r="C244" t="s">
        <v>389</v>
      </c>
      <c r="D244" t="s">
        <v>50</v>
      </c>
      <c r="E244" t="s">
        <v>60</v>
      </c>
      <c r="F244" t="s">
        <v>54</v>
      </c>
      <c r="G244" t="s">
        <v>55</v>
      </c>
      <c r="H244">
        <v>19</v>
      </c>
      <c r="I244">
        <v>480.29</v>
      </c>
      <c r="J244">
        <v>0</v>
      </c>
      <c r="K244">
        <v>9125.51</v>
      </c>
      <c r="L244" t="str">
        <f t="shared" si="3"/>
        <v xml:space="preserve">No_Discount </v>
      </c>
    </row>
    <row r="245" spans="1:12" x14ac:dyDescent="0.25">
      <c r="A245" t="s">
        <v>465</v>
      </c>
      <c r="B245" s="1">
        <v>45151</v>
      </c>
      <c r="C245" t="s">
        <v>466</v>
      </c>
      <c r="D245" t="s">
        <v>50</v>
      </c>
      <c r="E245" t="s">
        <v>26</v>
      </c>
      <c r="F245" t="s">
        <v>21</v>
      </c>
      <c r="G245" t="s">
        <v>22</v>
      </c>
      <c r="H245">
        <v>30</v>
      </c>
      <c r="I245">
        <v>88.26</v>
      </c>
      <c r="J245">
        <v>0</v>
      </c>
      <c r="K245">
        <v>2647.8</v>
      </c>
      <c r="L245" t="str">
        <f t="shared" si="3"/>
        <v xml:space="preserve">No_Discount </v>
      </c>
    </row>
    <row r="246" spans="1:12" x14ac:dyDescent="0.25">
      <c r="A246" t="s">
        <v>467</v>
      </c>
      <c r="B246" s="1">
        <v>45012</v>
      </c>
      <c r="C246" t="s">
        <v>135</v>
      </c>
      <c r="D246" t="s">
        <v>19</v>
      </c>
      <c r="E246" t="s">
        <v>36</v>
      </c>
      <c r="F246" t="s">
        <v>79</v>
      </c>
      <c r="G246" t="s">
        <v>22</v>
      </c>
      <c r="H246">
        <v>15</v>
      </c>
      <c r="I246">
        <v>36.17</v>
      </c>
      <c r="J246">
        <v>0.15</v>
      </c>
      <c r="K246">
        <v>461.17</v>
      </c>
      <c r="L246" t="str">
        <f t="shared" si="3"/>
        <v xml:space="preserve">Medium </v>
      </c>
    </row>
    <row r="247" spans="1:12" x14ac:dyDescent="0.25">
      <c r="A247" t="s">
        <v>468</v>
      </c>
      <c r="B247" s="1">
        <v>45124</v>
      </c>
      <c r="C247" t="s">
        <v>469</v>
      </c>
      <c r="D247" t="s">
        <v>19</v>
      </c>
      <c r="E247" t="s">
        <v>20</v>
      </c>
      <c r="F247" t="s">
        <v>32</v>
      </c>
      <c r="G247" t="s">
        <v>22</v>
      </c>
      <c r="H247">
        <v>46</v>
      </c>
      <c r="I247">
        <v>51.24</v>
      </c>
      <c r="J247">
        <v>0.2</v>
      </c>
      <c r="K247">
        <v>1885.63</v>
      </c>
      <c r="L247" t="str">
        <f t="shared" si="3"/>
        <v xml:space="preserve">Medium </v>
      </c>
    </row>
    <row r="248" spans="1:12" x14ac:dyDescent="0.25">
      <c r="A248" t="s">
        <v>470</v>
      </c>
      <c r="B248" s="1">
        <v>45291</v>
      </c>
      <c r="C248" t="s">
        <v>73</v>
      </c>
      <c r="D248" t="s">
        <v>39</v>
      </c>
      <c r="E248" t="s">
        <v>60</v>
      </c>
      <c r="F248" t="s">
        <v>15</v>
      </c>
      <c r="G248" t="s">
        <v>16</v>
      </c>
      <c r="H248">
        <v>6</v>
      </c>
      <c r="I248">
        <v>93.22</v>
      </c>
      <c r="J248">
        <v>0.1</v>
      </c>
      <c r="K248">
        <v>503.39</v>
      </c>
      <c r="L248" t="str">
        <f t="shared" si="3"/>
        <v xml:space="preserve">Low </v>
      </c>
    </row>
    <row r="249" spans="1:12" x14ac:dyDescent="0.25">
      <c r="A249" t="s">
        <v>471</v>
      </c>
      <c r="B249" s="1">
        <v>44970</v>
      </c>
      <c r="C249" t="s">
        <v>472</v>
      </c>
      <c r="D249" t="s">
        <v>35</v>
      </c>
      <c r="E249" t="s">
        <v>14</v>
      </c>
      <c r="F249" t="s">
        <v>27</v>
      </c>
      <c r="G249" t="s">
        <v>28</v>
      </c>
      <c r="H249">
        <v>31</v>
      </c>
      <c r="I249">
        <v>128.72</v>
      </c>
      <c r="J249">
        <v>0</v>
      </c>
      <c r="K249">
        <v>3990.32</v>
      </c>
      <c r="L249" t="str">
        <f t="shared" si="3"/>
        <v xml:space="preserve">No_Discount </v>
      </c>
    </row>
    <row r="250" spans="1:12" x14ac:dyDescent="0.25">
      <c r="A250" t="s">
        <v>473</v>
      </c>
      <c r="B250" s="1">
        <v>44949</v>
      </c>
      <c r="C250" t="s">
        <v>474</v>
      </c>
      <c r="D250" t="s">
        <v>67</v>
      </c>
      <c r="E250" t="s">
        <v>60</v>
      </c>
      <c r="F250" t="s">
        <v>15</v>
      </c>
      <c r="G250" t="s">
        <v>16</v>
      </c>
      <c r="H250">
        <v>29</v>
      </c>
      <c r="I250">
        <v>98.51</v>
      </c>
      <c r="J250">
        <v>0</v>
      </c>
      <c r="K250">
        <v>2856.79</v>
      </c>
      <c r="L250" t="str">
        <f t="shared" si="3"/>
        <v xml:space="preserve">No_Discount </v>
      </c>
    </row>
    <row r="251" spans="1:12" x14ac:dyDescent="0.25">
      <c r="A251" t="s">
        <v>475</v>
      </c>
      <c r="B251" s="1">
        <v>44961</v>
      </c>
      <c r="C251" t="s">
        <v>476</v>
      </c>
      <c r="D251" t="s">
        <v>35</v>
      </c>
      <c r="E251" t="s">
        <v>36</v>
      </c>
      <c r="F251" t="s">
        <v>32</v>
      </c>
      <c r="G251" t="s">
        <v>22</v>
      </c>
      <c r="H251">
        <v>8</v>
      </c>
      <c r="I251">
        <v>40.54</v>
      </c>
      <c r="J251">
        <v>0.1</v>
      </c>
      <c r="K251">
        <v>291.89</v>
      </c>
      <c r="L251" t="str">
        <f t="shared" si="3"/>
        <v xml:space="preserve">Low </v>
      </c>
    </row>
    <row r="252" spans="1:12" x14ac:dyDescent="0.25">
      <c r="A252" t="s">
        <v>477</v>
      </c>
      <c r="B252" s="1">
        <v>45064</v>
      </c>
      <c r="C252" t="s">
        <v>446</v>
      </c>
      <c r="D252" t="s">
        <v>99</v>
      </c>
      <c r="E252" t="s">
        <v>36</v>
      </c>
      <c r="F252" t="s">
        <v>79</v>
      </c>
      <c r="G252" t="s">
        <v>22</v>
      </c>
      <c r="H252">
        <v>34</v>
      </c>
      <c r="I252">
        <v>37.36</v>
      </c>
      <c r="J252">
        <v>0.2</v>
      </c>
      <c r="K252">
        <v>1016.19</v>
      </c>
      <c r="L252" t="str">
        <f t="shared" si="3"/>
        <v xml:space="preserve">Medium </v>
      </c>
    </row>
    <row r="253" spans="1:12" x14ac:dyDescent="0.25">
      <c r="A253" t="s">
        <v>478</v>
      </c>
      <c r="B253" s="1">
        <v>45022</v>
      </c>
      <c r="C253" t="s">
        <v>479</v>
      </c>
      <c r="D253" t="s">
        <v>99</v>
      </c>
      <c r="E253" t="s">
        <v>20</v>
      </c>
      <c r="F253" t="s">
        <v>27</v>
      </c>
      <c r="G253" t="s">
        <v>28</v>
      </c>
      <c r="H253">
        <v>22</v>
      </c>
      <c r="I253">
        <v>136.44999999999999</v>
      </c>
      <c r="J253">
        <v>0.05</v>
      </c>
      <c r="K253">
        <v>2851.8</v>
      </c>
      <c r="L253" t="str">
        <f t="shared" si="3"/>
        <v xml:space="preserve">Low </v>
      </c>
    </row>
    <row r="254" spans="1:12" x14ac:dyDescent="0.25">
      <c r="A254" t="s">
        <v>480</v>
      </c>
      <c r="B254" s="1">
        <v>45273</v>
      </c>
      <c r="C254" t="s">
        <v>481</v>
      </c>
      <c r="D254" t="s">
        <v>35</v>
      </c>
      <c r="E254" t="s">
        <v>20</v>
      </c>
      <c r="F254" t="s">
        <v>79</v>
      </c>
      <c r="G254" t="s">
        <v>22</v>
      </c>
      <c r="H254">
        <v>8</v>
      </c>
      <c r="I254">
        <v>37.97</v>
      </c>
      <c r="J254">
        <v>0</v>
      </c>
      <c r="K254">
        <v>303.76</v>
      </c>
      <c r="L254" t="str">
        <f t="shared" si="3"/>
        <v xml:space="preserve">No_Discount </v>
      </c>
    </row>
    <row r="255" spans="1:12" x14ac:dyDescent="0.25">
      <c r="A255" t="s">
        <v>482</v>
      </c>
      <c r="B255" s="1">
        <v>45241</v>
      </c>
      <c r="C255" t="s">
        <v>483</v>
      </c>
      <c r="D255" t="s">
        <v>39</v>
      </c>
      <c r="E255" t="s">
        <v>26</v>
      </c>
      <c r="F255" t="s">
        <v>54</v>
      </c>
      <c r="G255" t="s">
        <v>55</v>
      </c>
      <c r="H255">
        <v>4</v>
      </c>
      <c r="I255">
        <v>458.39</v>
      </c>
      <c r="J255">
        <v>0.05</v>
      </c>
      <c r="K255">
        <v>1741.88</v>
      </c>
      <c r="L255" t="str">
        <f t="shared" si="3"/>
        <v xml:space="preserve">Low </v>
      </c>
    </row>
    <row r="256" spans="1:12" x14ac:dyDescent="0.25">
      <c r="A256" t="s">
        <v>484</v>
      </c>
      <c r="B256" s="1">
        <v>45263</v>
      </c>
      <c r="C256" t="s">
        <v>96</v>
      </c>
      <c r="D256" t="s">
        <v>67</v>
      </c>
      <c r="E256" t="s">
        <v>26</v>
      </c>
      <c r="F256" t="s">
        <v>32</v>
      </c>
      <c r="G256" t="s">
        <v>22</v>
      </c>
      <c r="H256">
        <v>25</v>
      </c>
      <c r="I256">
        <v>44.31</v>
      </c>
      <c r="J256">
        <v>0.15</v>
      </c>
      <c r="K256">
        <v>941.59</v>
      </c>
      <c r="L256" t="str">
        <f t="shared" si="3"/>
        <v xml:space="preserve">Medium </v>
      </c>
    </row>
    <row r="257" spans="1:12" x14ac:dyDescent="0.25">
      <c r="A257" t="s">
        <v>485</v>
      </c>
      <c r="B257" s="1">
        <v>45059</v>
      </c>
      <c r="C257" t="s">
        <v>486</v>
      </c>
      <c r="D257" t="s">
        <v>76</v>
      </c>
      <c r="E257" t="s">
        <v>26</v>
      </c>
      <c r="F257" t="s">
        <v>15</v>
      </c>
      <c r="G257" t="s">
        <v>16</v>
      </c>
      <c r="H257">
        <v>41</v>
      </c>
      <c r="I257">
        <v>104.71</v>
      </c>
      <c r="J257">
        <v>0</v>
      </c>
      <c r="K257">
        <v>4293.1099999999997</v>
      </c>
      <c r="L257" t="str">
        <f t="shared" si="3"/>
        <v xml:space="preserve">No_Discount </v>
      </c>
    </row>
    <row r="258" spans="1:12" x14ac:dyDescent="0.25">
      <c r="A258" t="s">
        <v>487</v>
      </c>
      <c r="B258" s="1">
        <v>45042</v>
      </c>
      <c r="C258" t="s">
        <v>488</v>
      </c>
      <c r="D258" t="s">
        <v>76</v>
      </c>
      <c r="E258" t="s">
        <v>26</v>
      </c>
      <c r="F258" t="s">
        <v>42</v>
      </c>
      <c r="G258" t="s">
        <v>43</v>
      </c>
      <c r="H258">
        <v>50</v>
      </c>
      <c r="I258">
        <v>345.63</v>
      </c>
      <c r="J258">
        <v>0.05</v>
      </c>
      <c r="K258">
        <v>16417.419999999998</v>
      </c>
      <c r="L258" t="str">
        <f t="shared" ref="L258:L321" si="4">IF(J258=0, "No_Discount ", IF(J258&lt;=0.1, "Low ", IF(J258&lt;=0.2, "Medium ", "High ")))</f>
        <v xml:space="preserve">Low </v>
      </c>
    </row>
    <row r="259" spans="1:12" x14ac:dyDescent="0.25">
      <c r="A259" t="s">
        <v>489</v>
      </c>
      <c r="B259" s="1">
        <v>45126</v>
      </c>
      <c r="C259" t="s">
        <v>490</v>
      </c>
      <c r="D259" t="s">
        <v>19</v>
      </c>
      <c r="E259" t="s">
        <v>26</v>
      </c>
      <c r="F259" t="s">
        <v>54</v>
      </c>
      <c r="G259" t="s">
        <v>55</v>
      </c>
      <c r="H259">
        <v>14</v>
      </c>
      <c r="I259">
        <v>440.3</v>
      </c>
      <c r="J259">
        <v>0</v>
      </c>
      <c r="K259">
        <v>6164.2</v>
      </c>
      <c r="L259" t="str">
        <f t="shared" si="4"/>
        <v xml:space="preserve">No_Discount </v>
      </c>
    </row>
    <row r="260" spans="1:12" x14ac:dyDescent="0.25">
      <c r="A260" t="s">
        <v>491</v>
      </c>
      <c r="B260" s="1">
        <v>44980</v>
      </c>
      <c r="C260" t="s">
        <v>492</v>
      </c>
      <c r="D260" t="s">
        <v>31</v>
      </c>
      <c r="E260" t="s">
        <v>36</v>
      </c>
      <c r="F260" t="s">
        <v>32</v>
      </c>
      <c r="G260" t="s">
        <v>22</v>
      </c>
      <c r="H260">
        <v>37</v>
      </c>
      <c r="I260">
        <v>49.15</v>
      </c>
      <c r="J260">
        <v>0</v>
      </c>
      <c r="K260">
        <v>1818.55</v>
      </c>
      <c r="L260" t="str">
        <f t="shared" si="4"/>
        <v xml:space="preserve">No_Discount </v>
      </c>
    </row>
    <row r="261" spans="1:12" x14ac:dyDescent="0.25">
      <c r="A261" t="s">
        <v>493</v>
      </c>
      <c r="B261" s="1">
        <v>45205</v>
      </c>
      <c r="C261" t="s">
        <v>494</v>
      </c>
      <c r="D261" t="s">
        <v>50</v>
      </c>
      <c r="E261" t="s">
        <v>36</v>
      </c>
      <c r="F261" t="s">
        <v>27</v>
      </c>
      <c r="G261" t="s">
        <v>28</v>
      </c>
      <c r="H261">
        <v>35</v>
      </c>
      <c r="I261">
        <v>114.94</v>
      </c>
      <c r="J261">
        <v>0.15</v>
      </c>
      <c r="K261">
        <v>3419.46</v>
      </c>
      <c r="L261" t="str">
        <f t="shared" si="4"/>
        <v xml:space="preserve">Medium </v>
      </c>
    </row>
    <row r="262" spans="1:12" x14ac:dyDescent="0.25">
      <c r="A262" t="s">
        <v>495</v>
      </c>
      <c r="B262" s="1">
        <v>45085</v>
      </c>
      <c r="C262" t="s">
        <v>226</v>
      </c>
      <c r="D262" t="s">
        <v>19</v>
      </c>
      <c r="E262" t="s">
        <v>26</v>
      </c>
      <c r="F262" t="s">
        <v>21</v>
      </c>
      <c r="G262" t="s">
        <v>22</v>
      </c>
      <c r="H262">
        <v>26</v>
      </c>
      <c r="I262">
        <v>84.33</v>
      </c>
      <c r="J262">
        <v>0</v>
      </c>
      <c r="K262">
        <v>2192.58</v>
      </c>
      <c r="L262" t="str">
        <f t="shared" si="4"/>
        <v xml:space="preserve">No_Discount </v>
      </c>
    </row>
    <row r="263" spans="1:12" x14ac:dyDescent="0.25">
      <c r="A263" t="s">
        <v>496</v>
      </c>
      <c r="B263" s="1">
        <v>45221</v>
      </c>
      <c r="C263" t="s">
        <v>380</v>
      </c>
      <c r="D263" t="s">
        <v>99</v>
      </c>
      <c r="E263" t="s">
        <v>60</v>
      </c>
      <c r="F263" t="s">
        <v>42</v>
      </c>
      <c r="G263" t="s">
        <v>43</v>
      </c>
      <c r="H263">
        <v>28</v>
      </c>
      <c r="I263">
        <v>364.97</v>
      </c>
      <c r="J263">
        <v>0.1</v>
      </c>
      <c r="K263">
        <v>9197.24</v>
      </c>
      <c r="L263" t="str">
        <f t="shared" si="4"/>
        <v xml:space="preserve">Low </v>
      </c>
    </row>
    <row r="264" spans="1:12" x14ac:dyDescent="0.25">
      <c r="A264" t="s">
        <v>497</v>
      </c>
      <c r="B264" s="1">
        <v>45123</v>
      </c>
      <c r="C264" t="s">
        <v>498</v>
      </c>
      <c r="D264" t="s">
        <v>50</v>
      </c>
      <c r="E264" t="s">
        <v>36</v>
      </c>
      <c r="F264" t="s">
        <v>32</v>
      </c>
      <c r="G264" t="s">
        <v>22</v>
      </c>
      <c r="H264">
        <v>33</v>
      </c>
      <c r="I264">
        <v>41.82</v>
      </c>
      <c r="J264">
        <v>0</v>
      </c>
      <c r="K264">
        <v>1380.06</v>
      </c>
      <c r="L264" t="str">
        <f t="shared" si="4"/>
        <v xml:space="preserve">No_Discount </v>
      </c>
    </row>
    <row r="265" spans="1:12" x14ac:dyDescent="0.25">
      <c r="A265" t="s">
        <v>499</v>
      </c>
      <c r="B265" s="1">
        <v>45022</v>
      </c>
      <c r="C265" t="s">
        <v>242</v>
      </c>
      <c r="D265" t="s">
        <v>76</v>
      </c>
      <c r="E265" t="s">
        <v>26</v>
      </c>
      <c r="F265" t="s">
        <v>79</v>
      </c>
      <c r="G265" t="s">
        <v>22</v>
      </c>
      <c r="H265">
        <v>8</v>
      </c>
      <c r="I265">
        <v>35.69</v>
      </c>
      <c r="J265">
        <v>0.1</v>
      </c>
      <c r="K265">
        <v>256.97000000000003</v>
      </c>
      <c r="L265" t="str">
        <f t="shared" si="4"/>
        <v xml:space="preserve">Low </v>
      </c>
    </row>
    <row r="266" spans="1:12" x14ac:dyDescent="0.25">
      <c r="A266" t="s">
        <v>500</v>
      </c>
      <c r="B266" s="1">
        <v>45277</v>
      </c>
      <c r="C266" t="s">
        <v>334</v>
      </c>
      <c r="D266" t="s">
        <v>31</v>
      </c>
      <c r="E266" t="s">
        <v>60</v>
      </c>
      <c r="F266" t="s">
        <v>27</v>
      </c>
      <c r="G266" t="s">
        <v>28</v>
      </c>
      <c r="H266">
        <v>39</v>
      </c>
      <c r="I266">
        <v>130.88999999999999</v>
      </c>
      <c r="J266">
        <v>0.05</v>
      </c>
      <c r="K266">
        <v>4849.47</v>
      </c>
      <c r="L266" t="str">
        <f t="shared" si="4"/>
        <v xml:space="preserve">Low </v>
      </c>
    </row>
    <row r="267" spans="1:12" x14ac:dyDescent="0.25">
      <c r="A267" t="s">
        <v>501</v>
      </c>
      <c r="B267" s="1">
        <v>45015</v>
      </c>
      <c r="C267" t="s">
        <v>226</v>
      </c>
      <c r="D267" t="s">
        <v>39</v>
      </c>
      <c r="E267" t="s">
        <v>26</v>
      </c>
      <c r="F267" t="s">
        <v>27</v>
      </c>
      <c r="G267" t="s">
        <v>28</v>
      </c>
      <c r="H267">
        <v>34</v>
      </c>
      <c r="I267">
        <v>112.02</v>
      </c>
      <c r="J267">
        <v>0</v>
      </c>
      <c r="K267">
        <v>3808.68</v>
      </c>
      <c r="L267" t="str">
        <f t="shared" si="4"/>
        <v xml:space="preserve">No_Discount </v>
      </c>
    </row>
    <row r="268" spans="1:12" x14ac:dyDescent="0.25">
      <c r="A268" t="s">
        <v>502</v>
      </c>
      <c r="B268" s="1">
        <v>45145</v>
      </c>
      <c r="C268" t="s">
        <v>503</v>
      </c>
      <c r="D268" t="s">
        <v>39</v>
      </c>
      <c r="E268" t="s">
        <v>14</v>
      </c>
      <c r="F268" t="s">
        <v>54</v>
      </c>
      <c r="G268" t="s">
        <v>55</v>
      </c>
      <c r="H268">
        <v>32</v>
      </c>
      <c r="I268">
        <v>428.18</v>
      </c>
      <c r="J268">
        <v>0</v>
      </c>
      <c r="K268">
        <v>13701.76</v>
      </c>
      <c r="L268" t="str">
        <f t="shared" si="4"/>
        <v xml:space="preserve">No_Discount </v>
      </c>
    </row>
    <row r="269" spans="1:12" x14ac:dyDescent="0.25">
      <c r="A269" t="s">
        <v>393</v>
      </c>
      <c r="B269" s="1">
        <v>45109</v>
      </c>
      <c r="C269" t="s">
        <v>394</v>
      </c>
      <c r="D269" t="s">
        <v>76</v>
      </c>
      <c r="E269" t="s">
        <v>36</v>
      </c>
      <c r="F269" t="s">
        <v>54</v>
      </c>
      <c r="G269" t="s">
        <v>55</v>
      </c>
      <c r="H269">
        <v>21</v>
      </c>
      <c r="I269">
        <v>499.63</v>
      </c>
      <c r="J269">
        <v>0</v>
      </c>
      <c r="K269">
        <v>10492.23</v>
      </c>
      <c r="L269" t="str">
        <f t="shared" si="4"/>
        <v xml:space="preserve">No_Discount </v>
      </c>
    </row>
    <row r="270" spans="1:12" x14ac:dyDescent="0.25">
      <c r="A270" t="s">
        <v>504</v>
      </c>
      <c r="B270" s="1">
        <v>45089</v>
      </c>
      <c r="C270" t="s">
        <v>505</v>
      </c>
      <c r="D270" t="s">
        <v>67</v>
      </c>
      <c r="E270" t="s">
        <v>14</v>
      </c>
      <c r="F270" t="s">
        <v>15</v>
      </c>
      <c r="G270" t="s">
        <v>16</v>
      </c>
      <c r="H270">
        <v>10</v>
      </c>
      <c r="I270">
        <v>89.61</v>
      </c>
      <c r="J270">
        <v>0</v>
      </c>
      <c r="K270">
        <v>896.1</v>
      </c>
      <c r="L270" t="str">
        <f t="shared" si="4"/>
        <v xml:space="preserve">No_Discount </v>
      </c>
    </row>
    <row r="271" spans="1:12" x14ac:dyDescent="0.25">
      <c r="A271" t="s">
        <v>506</v>
      </c>
      <c r="B271" s="1">
        <v>44995</v>
      </c>
      <c r="C271" t="s">
        <v>208</v>
      </c>
      <c r="D271" t="s">
        <v>35</v>
      </c>
      <c r="E271" t="s">
        <v>60</v>
      </c>
      <c r="F271" t="s">
        <v>82</v>
      </c>
      <c r="G271" t="s">
        <v>43</v>
      </c>
      <c r="H271">
        <v>42</v>
      </c>
      <c r="I271">
        <v>1137.1400000000001</v>
      </c>
      <c r="J271">
        <v>0.15</v>
      </c>
      <c r="K271">
        <v>40595.9</v>
      </c>
      <c r="L271" t="str">
        <f t="shared" si="4"/>
        <v xml:space="preserve">Medium </v>
      </c>
    </row>
    <row r="272" spans="1:12" x14ac:dyDescent="0.25">
      <c r="A272" t="s">
        <v>507</v>
      </c>
      <c r="B272" s="1">
        <v>45273</v>
      </c>
      <c r="C272" t="s">
        <v>508</v>
      </c>
      <c r="D272" t="s">
        <v>35</v>
      </c>
      <c r="E272" t="s">
        <v>60</v>
      </c>
      <c r="F272" t="s">
        <v>79</v>
      </c>
      <c r="G272" t="s">
        <v>22</v>
      </c>
      <c r="H272">
        <v>23</v>
      </c>
      <c r="I272">
        <v>32.81</v>
      </c>
      <c r="J272">
        <v>0</v>
      </c>
      <c r="K272">
        <v>754.63</v>
      </c>
      <c r="L272" t="str">
        <f t="shared" si="4"/>
        <v xml:space="preserve">No_Discount </v>
      </c>
    </row>
    <row r="273" spans="1:12" x14ac:dyDescent="0.25">
      <c r="A273" t="s">
        <v>509</v>
      </c>
      <c r="B273" s="1">
        <v>45142</v>
      </c>
      <c r="C273" t="s">
        <v>407</v>
      </c>
      <c r="D273" t="s">
        <v>35</v>
      </c>
      <c r="E273" t="s">
        <v>26</v>
      </c>
      <c r="F273" t="s">
        <v>42</v>
      </c>
      <c r="G273" t="s">
        <v>43</v>
      </c>
      <c r="H273">
        <v>31</v>
      </c>
      <c r="I273">
        <v>349.66</v>
      </c>
      <c r="J273">
        <v>0.05</v>
      </c>
      <c r="K273">
        <v>10297.49</v>
      </c>
      <c r="L273" t="str">
        <f t="shared" si="4"/>
        <v xml:space="preserve">Low </v>
      </c>
    </row>
    <row r="274" spans="1:12" x14ac:dyDescent="0.25">
      <c r="A274" t="s">
        <v>510</v>
      </c>
      <c r="B274" s="1">
        <v>45074</v>
      </c>
      <c r="C274" t="s">
        <v>511</v>
      </c>
      <c r="D274" t="s">
        <v>76</v>
      </c>
      <c r="E274" t="s">
        <v>26</v>
      </c>
      <c r="F274" t="s">
        <v>82</v>
      </c>
      <c r="G274" t="s">
        <v>43</v>
      </c>
      <c r="H274">
        <v>17</v>
      </c>
      <c r="I274">
        <v>1355.07</v>
      </c>
      <c r="J274">
        <v>0</v>
      </c>
      <c r="K274">
        <v>23036.19</v>
      </c>
      <c r="L274" t="str">
        <f t="shared" si="4"/>
        <v xml:space="preserve">No_Discount </v>
      </c>
    </row>
    <row r="275" spans="1:12" x14ac:dyDescent="0.25">
      <c r="A275" t="s">
        <v>512</v>
      </c>
      <c r="B275" s="1">
        <v>44959</v>
      </c>
      <c r="C275" t="s">
        <v>286</v>
      </c>
      <c r="D275" t="s">
        <v>31</v>
      </c>
      <c r="E275" t="s">
        <v>36</v>
      </c>
      <c r="F275" t="s">
        <v>27</v>
      </c>
      <c r="G275" t="s">
        <v>28</v>
      </c>
      <c r="H275">
        <v>41</v>
      </c>
      <c r="I275">
        <v>117.02</v>
      </c>
      <c r="J275">
        <v>0</v>
      </c>
      <c r="K275">
        <v>4797.82</v>
      </c>
      <c r="L275" t="str">
        <f t="shared" si="4"/>
        <v xml:space="preserve">No_Discount </v>
      </c>
    </row>
    <row r="276" spans="1:12" x14ac:dyDescent="0.25">
      <c r="A276" t="s">
        <v>513</v>
      </c>
      <c r="B276" s="1">
        <v>45119</v>
      </c>
      <c r="C276" t="s">
        <v>514</v>
      </c>
      <c r="D276" t="s">
        <v>53</v>
      </c>
      <c r="E276" t="s">
        <v>14</v>
      </c>
      <c r="F276" t="s">
        <v>32</v>
      </c>
      <c r="G276" t="s">
        <v>22</v>
      </c>
      <c r="H276">
        <v>3</v>
      </c>
      <c r="I276">
        <v>43.39</v>
      </c>
      <c r="J276">
        <v>0.15</v>
      </c>
      <c r="K276">
        <v>110.64</v>
      </c>
      <c r="L276" t="str">
        <f t="shared" si="4"/>
        <v xml:space="preserve">Medium </v>
      </c>
    </row>
    <row r="277" spans="1:12" x14ac:dyDescent="0.25">
      <c r="A277" t="s">
        <v>515</v>
      </c>
      <c r="B277" s="1">
        <v>45045</v>
      </c>
      <c r="C277" t="s">
        <v>208</v>
      </c>
      <c r="D277" t="s">
        <v>39</v>
      </c>
      <c r="E277" t="s">
        <v>36</v>
      </c>
      <c r="F277" t="s">
        <v>21</v>
      </c>
      <c r="G277" t="s">
        <v>22</v>
      </c>
      <c r="H277">
        <v>8</v>
      </c>
      <c r="I277">
        <v>72.67</v>
      </c>
      <c r="J277">
        <v>0.1</v>
      </c>
      <c r="K277">
        <v>523.22</v>
      </c>
      <c r="L277" t="str">
        <f t="shared" si="4"/>
        <v xml:space="preserve">Low </v>
      </c>
    </row>
    <row r="278" spans="1:12" x14ac:dyDescent="0.25">
      <c r="A278" t="s">
        <v>516</v>
      </c>
      <c r="B278" s="1">
        <v>45088</v>
      </c>
      <c r="C278" t="s">
        <v>517</v>
      </c>
      <c r="D278" t="s">
        <v>35</v>
      </c>
      <c r="E278" t="s">
        <v>20</v>
      </c>
      <c r="F278" t="s">
        <v>82</v>
      </c>
      <c r="G278" t="s">
        <v>43</v>
      </c>
      <c r="H278">
        <v>27</v>
      </c>
      <c r="I278">
        <v>1087.99</v>
      </c>
      <c r="J278">
        <v>0.2</v>
      </c>
      <c r="K278">
        <v>23500.58</v>
      </c>
      <c r="L278" t="str">
        <f t="shared" si="4"/>
        <v xml:space="preserve">Medium </v>
      </c>
    </row>
    <row r="279" spans="1:12" x14ac:dyDescent="0.25">
      <c r="A279" t="s">
        <v>518</v>
      </c>
      <c r="B279" s="1">
        <v>45291</v>
      </c>
      <c r="C279" t="s">
        <v>519</v>
      </c>
      <c r="D279" t="s">
        <v>76</v>
      </c>
      <c r="E279" t="s">
        <v>60</v>
      </c>
      <c r="F279" t="s">
        <v>32</v>
      </c>
      <c r="G279" t="s">
        <v>22</v>
      </c>
      <c r="H279">
        <v>17</v>
      </c>
      <c r="I279">
        <v>44.25</v>
      </c>
      <c r="J279">
        <v>0.1</v>
      </c>
      <c r="K279">
        <v>677.02</v>
      </c>
      <c r="L279" t="str">
        <f t="shared" si="4"/>
        <v xml:space="preserve">Low </v>
      </c>
    </row>
    <row r="280" spans="1:12" x14ac:dyDescent="0.25">
      <c r="A280" t="s">
        <v>520</v>
      </c>
      <c r="B280" s="1">
        <v>45253</v>
      </c>
      <c r="C280" t="s">
        <v>521</v>
      </c>
      <c r="D280" t="s">
        <v>31</v>
      </c>
      <c r="E280" t="s">
        <v>14</v>
      </c>
      <c r="F280" t="s">
        <v>79</v>
      </c>
      <c r="G280" t="s">
        <v>22</v>
      </c>
      <c r="H280">
        <v>27</v>
      </c>
      <c r="I280">
        <v>35.83</v>
      </c>
      <c r="J280">
        <v>0</v>
      </c>
      <c r="K280">
        <v>967.41</v>
      </c>
      <c r="L280" t="str">
        <f t="shared" si="4"/>
        <v xml:space="preserve">No_Discount </v>
      </c>
    </row>
    <row r="281" spans="1:12" x14ac:dyDescent="0.25">
      <c r="A281" t="s">
        <v>522</v>
      </c>
      <c r="B281" s="1">
        <v>45213</v>
      </c>
      <c r="C281" t="s">
        <v>523</v>
      </c>
      <c r="D281" t="s">
        <v>19</v>
      </c>
      <c r="E281" t="s">
        <v>14</v>
      </c>
      <c r="F281" t="s">
        <v>54</v>
      </c>
      <c r="G281" t="s">
        <v>55</v>
      </c>
      <c r="H281">
        <v>23</v>
      </c>
      <c r="I281">
        <v>454.77</v>
      </c>
      <c r="J281">
        <v>0</v>
      </c>
      <c r="K281">
        <v>10459.709999999999</v>
      </c>
      <c r="L281" t="str">
        <f t="shared" si="4"/>
        <v xml:space="preserve">No_Discount </v>
      </c>
    </row>
    <row r="282" spans="1:12" x14ac:dyDescent="0.25">
      <c r="A282" t="s">
        <v>524</v>
      </c>
      <c r="B282" s="1">
        <v>45056</v>
      </c>
      <c r="C282" t="s">
        <v>411</v>
      </c>
      <c r="D282" t="s">
        <v>67</v>
      </c>
      <c r="E282" t="s">
        <v>36</v>
      </c>
      <c r="F282" t="s">
        <v>54</v>
      </c>
      <c r="G282" t="s">
        <v>55</v>
      </c>
      <c r="H282">
        <v>19</v>
      </c>
      <c r="I282">
        <v>457.48</v>
      </c>
      <c r="J282">
        <v>0.1</v>
      </c>
      <c r="K282">
        <v>7822.91</v>
      </c>
      <c r="L282" t="str">
        <f t="shared" si="4"/>
        <v xml:space="preserve">Low </v>
      </c>
    </row>
    <row r="283" spans="1:12" x14ac:dyDescent="0.25">
      <c r="A283" t="s">
        <v>525</v>
      </c>
      <c r="B283" s="1">
        <v>45135</v>
      </c>
      <c r="C283" t="s">
        <v>476</v>
      </c>
      <c r="D283" t="s">
        <v>50</v>
      </c>
      <c r="E283" t="s">
        <v>14</v>
      </c>
      <c r="F283" t="s">
        <v>42</v>
      </c>
      <c r="G283" t="s">
        <v>43</v>
      </c>
      <c r="H283">
        <v>5</v>
      </c>
      <c r="I283">
        <v>313.36</v>
      </c>
      <c r="J283">
        <v>0.2</v>
      </c>
      <c r="K283">
        <v>1253.44</v>
      </c>
      <c r="L283" t="str">
        <f t="shared" si="4"/>
        <v xml:space="preserve">Medium </v>
      </c>
    </row>
    <row r="284" spans="1:12" x14ac:dyDescent="0.25">
      <c r="A284" t="s">
        <v>526</v>
      </c>
      <c r="B284" s="1">
        <v>45249</v>
      </c>
      <c r="C284" t="s">
        <v>418</v>
      </c>
      <c r="D284" t="s">
        <v>53</v>
      </c>
      <c r="E284" t="s">
        <v>36</v>
      </c>
      <c r="F284" t="s">
        <v>82</v>
      </c>
      <c r="G284" t="s">
        <v>43</v>
      </c>
      <c r="H284">
        <v>5</v>
      </c>
      <c r="I284">
        <v>1290.99</v>
      </c>
      <c r="J284">
        <v>0.2</v>
      </c>
      <c r="K284">
        <v>5163.96</v>
      </c>
      <c r="L284" t="str">
        <f t="shared" si="4"/>
        <v xml:space="preserve">Medium </v>
      </c>
    </row>
    <row r="285" spans="1:12" x14ac:dyDescent="0.25">
      <c r="A285" t="s">
        <v>527</v>
      </c>
      <c r="B285" s="1">
        <v>45111</v>
      </c>
      <c r="C285" t="s">
        <v>178</v>
      </c>
      <c r="D285" t="s">
        <v>39</v>
      </c>
      <c r="E285" t="s">
        <v>36</v>
      </c>
      <c r="F285" t="s">
        <v>27</v>
      </c>
      <c r="G285" t="s">
        <v>28</v>
      </c>
      <c r="H285">
        <v>36</v>
      </c>
      <c r="I285">
        <v>135.36000000000001</v>
      </c>
      <c r="J285">
        <v>0.05</v>
      </c>
      <c r="K285">
        <v>4629.3100000000004</v>
      </c>
      <c r="L285" t="str">
        <f t="shared" si="4"/>
        <v xml:space="preserve">Low </v>
      </c>
    </row>
    <row r="286" spans="1:12" x14ac:dyDescent="0.25">
      <c r="A286" t="s">
        <v>528</v>
      </c>
      <c r="B286" s="1">
        <v>44985</v>
      </c>
      <c r="C286" t="s">
        <v>331</v>
      </c>
      <c r="D286" t="s">
        <v>53</v>
      </c>
      <c r="E286" t="s">
        <v>60</v>
      </c>
      <c r="F286" t="s">
        <v>27</v>
      </c>
      <c r="G286" t="s">
        <v>28</v>
      </c>
      <c r="H286">
        <v>32</v>
      </c>
      <c r="I286">
        <v>124.33</v>
      </c>
      <c r="J286">
        <v>0.05</v>
      </c>
      <c r="K286">
        <v>3779.63</v>
      </c>
      <c r="L286" t="str">
        <f t="shared" si="4"/>
        <v xml:space="preserve">Low </v>
      </c>
    </row>
    <row r="287" spans="1:12" x14ac:dyDescent="0.25">
      <c r="A287" t="s">
        <v>529</v>
      </c>
      <c r="B287" s="1">
        <v>45244</v>
      </c>
      <c r="C287" t="s">
        <v>133</v>
      </c>
      <c r="D287" t="s">
        <v>50</v>
      </c>
      <c r="E287" t="s">
        <v>36</v>
      </c>
      <c r="F287" t="s">
        <v>82</v>
      </c>
      <c r="G287" t="s">
        <v>43</v>
      </c>
      <c r="H287">
        <v>10</v>
      </c>
      <c r="I287">
        <v>1248.5</v>
      </c>
      <c r="J287">
        <v>0</v>
      </c>
      <c r="K287">
        <v>12485</v>
      </c>
      <c r="L287" t="str">
        <f t="shared" si="4"/>
        <v xml:space="preserve">No_Discount </v>
      </c>
    </row>
    <row r="288" spans="1:12" x14ac:dyDescent="0.25">
      <c r="A288" t="s">
        <v>530</v>
      </c>
      <c r="B288" s="1">
        <v>45222</v>
      </c>
      <c r="C288" t="s">
        <v>531</v>
      </c>
      <c r="D288" t="s">
        <v>50</v>
      </c>
      <c r="E288" t="s">
        <v>36</v>
      </c>
      <c r="F288" t="s">
        <v>27</v>
      </c>
      <c r="G288" t="s">
        <v>28</v>
      </c>
      <c r="H288">
        <v>12</v>
      </c>
      <c r="I288">
        <v>109.83</v>
      </c>
      <c r="J288">
        <v>0</v>
      </c>
      <c r="K288">
        <v>1317.96</v>
      </c>
      <c r="L288" t="str">
        <f t="shared" si="4"/>
        <v xml:space="preserve">No_Discount </v>
      </c>
    </row>
    <row r="289" spans="1:12" x14ac:dyDescent="0.25">
      <c r="A289" t="s">
        <v>532</v>
      </c>
      <c r="B289" s="1">
        <v>45149</v>
      </c>
      <c r="C289" t="s">
        <v>533</v>
      </c>
      <c r="D289" t="s">
        <v>76</v>
      </c>
      <c r="E289" t="s">
        <v>20</v>
      </c>
      <c r="F289" t="s">
        <v>42</v>
      </c>
      <c r="G289" t="s">
        <v>43</v>
      </c>
      <c r="H289">
        <v>2</v>
      </c>
      <c r="I289">
        <v>345.39</v>
      </c>
      <c r="J289">
        <v>0</v>
      </c>
      <c r="K289">
        <v>690.78</v>
      </c>
      <c r="L289" t="str">
        <f t="shared" si="4"/>
        <v xml:space="preserve">No_Discount </v>
      </c>
    </row>
    <row r="290" spans="1:12" x14ac:dyDescent="0.25">
      <c r="A290" t="s">
        <v>534</v>
      </c>
      <c r="B290" s="1">
        <v>45206</v>
      </c>
      <c r="C290" t="s">
        <v>535</v>
      </c>
      <c r="D290" t="s">
        <v>19</v>
      </c>
      <c r="E290" t="s">
        <v>26</v>
      </c>
      <c r="F290" t="s">
        <v>82</v>
      </c>
      <c r="G290" t="s">
        <v>43</v>
      </c>
      <c r="H290">
        <v>3</v>
      </c>
      <c r="I290">
        <v>1349.11</v>
      </c>
      <c r="J290">
        <v>0</v>
      </c>
      <c r="K290">
        <v>4047.33</v>
      </c>
      <c r="L290" t="str">
        <f t="shared" si="4"/>
        <v xml:space="preserve">No_Discount </v>
      </c>
    </row>
    <row r="291" spans="1:12" x14ac:dyDescent="0.25">
      <c r="A291" t="s">
        <v>536</v>
      </c>
      <c r="B291" s="1">
        <v>45029</v>
      </c>
      <c r="C291" t="s">
        <v>158</v>
      </c>
      <c r="D291" t="s">
        <v>53</v>
      </c>
      <c r="E291" t="s">
        <v>36</v>
      </c>
      <c r="F291" t="s">
        <v>82</v>
      </c>
      <c r="G291" t="s">
        <v>43</v>
      </c>
      <c r="H291">
        <v>31</v>
      </c>
      <c r="I291">
        <v>1112.19</v>
      </c>
      <c r="J291">
        <v>0</v>
      </c>
      <c r="K291">
        <v>34477.89</v>
      </c>
      <c r="L291" t="str">
        <f t="shared" si="4"/>
        <v xml:space="preserve">No_Discount </v>
      </c>
    </row>
    <row r="292" spans="1:12" x14ac:dyDescent="0.25">
      <c r="A292" t="s">
        <v>537</v>
      </c>
      <c r="B292" s="1">
        <v>44981</v>
      </c>
      <c r="C292" t="s">
        <v>538</v>
      </c>
      <c r="D292" t="s">
        <v>67</v>
      </c>
      <c r="E292" t="s">
        <v>20</v>
      </c>
      <c r="F292" t="s">
        <v>32</v>
      </c>
      <c r="G292" t="s">
        <v>22</v>
      </c>
      <c r="H292">
        <v>47</v>
      </c>
      <c r="I292">
        <v>44.35</v>
      </c>
      <c r="J292">
        <v>0.05</v>
      </c>
      <c r="K292">
        <v>1980.23</v>
      </c>
      <c r="L292" t="str">
        <f t="shared" si="4"/>
        <v xml:space="preserve">Low </v>
      </c>
    </row>
    <row r="293" spans="1:12" x14ac:dyDescent="0.25">
      <c r="A293" t="s">
        <v>539</v>
      </c>
      <c r="B293" s="1">
        <v>45189</v>
      </c>
      <c r="C293" t="s">
        <v>540</v>
      </c>
      <c r="D293" t="s">
        <v>99</v>
      </c>
      <c r="E293" t="s">
        <v>60</v>
      </c>
      <c r="F293" t="s">
        <v>27</v>
      </c>
      <c r="G293" t="s">
        <v>28</v>
      </c>
      <c r="H293">
        <v>30</v>
      </c>
      <c r="I293">
        <v>129.15</v>
      </c>
      <c r="J293">
        <v>0</v>
      </c>
      <c r="K293">
        <v>3874.5</v>
      </c>
      <c r="L293" t="str">
        <f t="shared" si="4"/>
        <v xml:space="preserve">No_Discount </v>
      </c>
    </row>
    <row r="294" spans="1:12" x14ac:dyDescent="0.25">
      <c r="A294" t="s">
        <v>541</v>
      </c>
      <c r="B294" s="1">
        <v>45281</v>
      </c>
      <c r="C294" t="s">
        <v>542</v>
      </c>
      <c r="D294" t="s">
        <v>50</v>
      </c>
      <c r="E294" t="s">
        <v>14</v>
      </c>
      <c r="F294" t="s">
        <v>54</v>
      </c>
      <c r="G294" t="s">
        <v>55</v>
      </c>
      <c r="H294">
        <v>18</v>
      </c>
      <c r="I294">
        <v>431.5</v>
      </c>
      <c r="J294">
        <v>0.1</v>
      </c>
      <c r="K294">
        <v>6990.3</v>
      </c>
      <c r="L294" t="str">
        <f t="shared" si="4"/>
        <v xml:space="preserve">Low </v>
      </c>
    </row>
    <row r="295" spans="1:12" x14ac:dyDescent="0.25">
      <c r="A295" t="s">
        <v>543</v>
      </c>
      <c r="B295" s="1">
        <v>45050</v>
      </c>
      <c r="C295" t="s">
        <v>544</v>
      </c>
      <c r="D295" t="s">
        <v>67</v>
      </c>
      <c r="E295" t="s">
        <v>36</v>
      </c>
      <c r="F295" t="s">
        <v>54</v>
      </c>
      <c r="G295" t="s">
        <v>55</v>
      </c>
      <c r="H295">
        <v>15</v>
      </c>
      <c r="I295">
        <v>419.71</v>
      </c>
      <c r="J295">
        <v>0</v>
      </c>
      <c r="K295">
        <v>6295.65</v>
      </c>
      <c r="L295" t="str">
        <f t="shared" si="4"/>
        <v xml:space="preserve">No_Discount </v>
      </c>
    </row>
    <row r="296" spans="1:12" x14ac:dyDescent="0.25">
      <c r="A296" t="s">
        <v>545</v>
      </c>
      <c r="B296" s="1">
        <v>45120</v>
      </c>
      <c r="C296" t="s">
        <v>546</v>
      </c>
      <c r="D296" t="s">
        <v>31</v>
      </c>
      <c r="E296" t="s">
        <v>14</v>
      </c>
      <c r="F296" t="s">
        <v>54</v>
      </c>
      <c r="G296" t="s">
        <v>55</v>
      </c>
      <c r="H296">
        <v>24</v>
      </c>
      <c r="I296">
        <v>505.7</v>
      </c>
      <c r="J296">
        <v>0.05</v>
      </c>
      <c r="K296">
        <v>11529.96</v>
      </c>
      <c r="L296" t="str">
        <f t="shared" si="4"/>
        <v xml:space="preserve">Low </v>
      </c>
    </row>
    <row r="297" spans="1:12" x14ac:dyDescent="0.25">
      <c r="A297" t="s">
        <v>547</v>
      </c>
      <c r="B297" s="1">
        <v>45032</v>
      </c>
      <c r="C297" t="s">
        <v>548</v>
      </c>
      <c r="D297" t="s">
        <v>19</v>
      </c>
      <c r="E297" t="s">
        <v>20</v>
      </c>
      <c r="F297" t="s">
        <v>15</v>
      </c>
      <c r="G297" t="s">
        <v>16</v>
      </c>
      <c r="H297">
        <v>46</v>
      </c>
      <c r="I297">
        <v>88.9</v>
      </c>
      <c r="J297">
        <v>-0.04</v>
      </c>
      <c r="K297">
        <v>4239.8999999999996</v>
      </c>
      <c r="L297" t="str">
        <f t="shared" si="4"/>
        <v xml:space="preserve">Low </v>
      </c>
    </row>
    <row r="298" spans="1:12" x14ac:dyDescent="0.25">
      <c r="A298" t="s">
        <v>549</v>
      </c>
      <c r="B298" s="1">
        <v>45290</v>
      </c>
      <c r="C298" t="s">
        <v>550</v>
      </c>
      <c r="D298" t="s">
        <v>25</v>
      </c>
      <c r="E298" t="s">
        <v>60</v>
      </c>
      <c r="F298" t="s">
        <v>15</v>
      </c>
      <c r="G298" t="s">
        <v>16</v>
      </c>
      <c r="H298">
        <v>12</v>
      </c>
      <c r="I298">
        <v>101.5</v>
      </c>
      <c r="J298">
        <v>0.2</v>
      </c>
      <c r="K298">
        <v>974.4</v>
      </c>
      <c r="L298" t="str">
        <f t="shared" si="4"/>
        <v xml:space="preserve">Medium </v>
      </c>
    </row>
    <row r="299" spans="1:12" x14ac:dyDescent="0.25">
      <c r="A299" t="s">
        <v>551</v>
      </c>
      <c r="B299" s="1">
        <v>45025</v>
      </c>
      <c r="C299" t="s">
        <v>217</v>
      </c>
      <c r="D299" t="s">
        <v>39</v>
      </c>
      <c r="E299" t="s">
        <v>26</v>
      </c>
      <c r="F299" t="s">
        <v>42</v>
      </c>
      <c r="G299" t="s">
        <v>43</v>
      </c>
      <c r="H299">
        <v>9</v>
      </c>
      <c r="I299">
        <v>317.64</v>
      </c>
      <c r="J299">
        <v>0</v>
      </c>
      <c r="K299">
        <v>2858.76</v>
      </c>
      <c r="L299" t="str">
        <f t="shared" si="4"/>
        <v xml:space="preserve">No_Discount </v>
      </c>
    </row>
    <row r="300" spans="1:12" x14ac:dyDescent="0.25">
      <c r="A300" t="s">
        <v>552</v>
      </c>
      <c r="B300" s="1">
        <v>45076</v>
      </c>
      <c r="C300" t="s">
        <v>553</v>
      </c>
      <c r="D300" t="s">
        <v>76</v>
      </c>
      <c r="E300" t="s">
        <v>36</v>
      </c>
      <c r="F300" t="s">
        <v>82</v>
      </c>
      <c r="G300" t="s">
        <v>43</v>
      </c>
      <c r="H300">
        <v>19</v>
      </c>
      <c r="I300">
        <v>1167.1400000000001</v>
      </c>
      <c r="J300">
        <v>0</v>
      </c>
      <c r="K300">
        <v>22175.66</v>
      </c>
      <c r="L300" t="str">
        <f t="shared" si="4"/>
        <v xml:space="preserve">No_Discount </v>
      </c>
    </row>
    <row r="301" spans="1:12" x14ac:dyDescent="0.25">
      <c r="A301" t="s">
        <v>554</v>
      </c>
      <c r="B301" s="1">
        <v>45259</v>
      </c>
      <c r="C301" t="s">
        <v>555</v>
      </c>
      <c r="D301" t="s">
        <v>25</v>
      </c>
      <c r="E301" t="s">
        <v>14</v>
      </c>
      <c r="F301" t="s">
        <v>15</v>
      </c>
      <c r="G301" t="s">
        <v>16</v>
      </c>
      <c r="H301">
        <v>11</v>
      </c>
      <c r="I301">
        <v>97.35</v>
      </c>
      <c r="J301">
        <v>0</v>
      </c>
      <c r="K301">
        <v>1070.8499999999999</v>
      </c>
      <c r="L301" t="str">
        <f t="shared" si="4"/>
        <v xml:space="preserve">No_Discount </v>
      </c>
    </row>
    <row r="302" spans="1:12" x14ac:dyDescent="0.25">
      <c r="A302" t="s">
        <v>556</v>
      </c>
      <c r="B302" s="1">
        <v>44945</v>
      </c>
      <c r="C302" t="s">
        <v>557</v>
      </c>
      <c r="D302" t="s">
        <v>25</v>
      </c>
      <c r="E302" t="s">
        <v>20</v>
      </c>
      <c r="F302" t="s">
        <v>27</v>
      </c>
      <c r="G302" t="s">
        <v>28</v>
      </c>
      <c r="H302">
        <v>21</v>
      </c>
      <c r="I302">
        <v>120.48</v>
      </c>
      <c r="J302">
        <v>0.2</v>
      </c>
      <c r="K302">
        <v>2024.06</v>
      </c>
      <c r="L302" t="str">
        <f t="shared" si="4"/>
        <v xml:space="preserve">Medium </v>
      </c>
    </row>
    <row r="303" spans="1:12" x14ac:dyDescent="0.25">
      <c r="A303" t="s">
        <v>558</v>
      </c>
      <c r="B303" s="1">
        <v>45088</v>
      </c>
      <c r="C303" t="s">
        <v>346</v>
      </c>
      <c r="D303" t="s">
        <v>39</v>
      </c>
      <c r="E303" t="s">
        <v>20</v>
      </c>
      <c r="F303" t="s">
        <v>42</v>
      </c>
      <c r="G303" t="s">
        <v>43</v>
      </c>
      <c r="H303">
        <v>27</v>
      </c>
      <c r="I303">
        <v>303.92</v>
      </c>
      <c r="J303">
        <v>0.15</v>
      </c>
      <c r="K303">
        <v>6974.96</v>
      </c>
      <c r="L303" t="str">
        <f t="shared" si="4"/>
        <v xml:space="preserve">Medium </v>
      </c>
    </row>
    <row r="304" spans="1:12" x14ac:dyDescent="0.25">
      <c r="A304" t="s">
        <v>559</v>
      </c>
      <c r="B304" s="1">
        <v>44964</v>
      </c>
      <c r="C304" t="s">
        <v>560</v>
      </c>
      <c r="D304" t="s">
        <v>39</v>
      </c>
      <c r="E304" t="s">
        <v>36</v>
      </c>
      <c r="F304" t="s">
        <v>82</v>
      </c>
      <c r="G304" t="s">
        <v>43</v>
      </c>
      <c r="H304">
        <v>34</v>
      </c>
      <c r="I304">
        <v>1291.07</v>
      </c>
      <c r="J304">
        <v>0</v>
      </c>
      <c r="K304">
        <v>43896.38</v>
      </c>
      <c r="L304" t="str">
        <f t="shared" si="4"/>
        <v xml:space="preserve">No_Discount </v>
      </c>
    </row>
    <row r="305" spans="1:12" x14ac:dyDescent="0.25">
      <c r="A305" t="s">
        <v>561</v>
      </c>
      <c r="B305" s="1">
        <v>45105</v>
      </c>
      <c r="C305" t="s">
        <v>562</v>
      </c>
      <c r="D305" t="s">
        <v>67</v>
      </c>
      <c r="E305" t="s">
        <v>26</v>
      </c>
      <c r="F305" t="s">
        <v>21</v>
      </c>
      <c r="G305" t="s">
        <v>22</v>
      </c>
      <c r="H305">
        <v>24</v>
      </c>
      <c r="I305">
        <v>79.650000000000006</v>
      </c>
      <c r="J305">
        <v>0.1</v>
      </c>
      <c r="K305">
        <v>1720.44</v>
      </c>
      <c r="L305" t="str">
        <f t="shared" si="4"/>
        <v xml:space="preserve">Low </v>
      </c>
    </row>
    <row r="306" spans="1:12" x14ac:dyDescent="0.25">
      <c r="A306" t="s">
        <v>563</v>
      </c>
      <c r="B306" s="1">
        <v>45093</v>
      </c>
      <c r="C306" t="s">
        <v>162</v>
      </c>
      <c r="D306" t="s">
        <v>53</v>
      </c>
      <c r="E306" t="s">
        <v>20</v>
      </c>
      <c r="F306" t="s">
        <v>82</v>
      </c>
      <c r="G306" t="s">
        <v>43</v>
      </c>
      <c r="H306">
        <v>16</v>
      </c>
      <c r="I306">
        <v>1325.51</v>
      </c>
      <c r="J306">
        <v>0.2</v>
      </c>
      <c r="K306">
        <v>16966.53</v>
      </c>
      <c r="L306" t="str">
        <f t="shared" si="4"/>
        <v xml:space="preserve">Medium </v>
      </c>
    </row>
    <row r="307" spans="1:12" x14ac:dyDescent="0.25">
      <c r="A307" t="s">
        <v>564</v>
      </c>
      <c r="B307" s="1">
        <v>44948</v>
      </c>
      <c r="C307" t="s">
        <v>565</v>
      </c>
      <c r="D307" t="s">
        <v>76</v>
      </c>
      <c r="E307" t="s">
        <v>26</v>
      </c>
      <c r="F307" t="s">
        <v>32</v>
      </c>
      <c r="G307" t="s">
        <v>22</v>
      </c>
      <c r="H307">
        <v>35</v>
      </c>
      <c r="I307">
        <v>46.92</v>
      </c>
      <c r="J307">
        <v>0</v>
      </c>
      <c r="K307">
        <v>1642.2</v>
      </c>
      <c r="L307" t="str">
        <f t="shared" si="4"/>
        <v xml:space="preserve">No_Discount </v>
      </c>
    </row>
    <row r="308" spans="1:12" x14ac:dyDescent="0.25">
      <c r="A308" t="s">
        <v>566</v>
      </c>
      <c r="B308" s="1">
        <v>45235</v>
      </c>
      <c r="C308" t="s">
        <v>111</v>
      </c>
      <c r="D308" t="s">
        <v>35</v>
      </c>
      <c r="E308" t="s">
        <v>26</v>
      </c>
      <c r="F308" t="s">
        <v>32</v>
      </c>
      <c r="G308" t="s">
        <v>22</v>
      </c>
      <c r="H308">
        <v>30</v>
      </c>
      <c r="I308">
        <v>40.6</v>
      </c>
      <c r="J308">
        <v>0.2</v>
      </c>
      <c r="K308">
        <v>974.4</v>
      </c>
      <c r="L308" t="str">
        <f t="shared" si="4"/>
        <v xml:space="preserve">Medium </v>
      </c>
    </row>
    <row r="309" spans="1:12" x14ac:dyDescent="0.25">
      <c r="A309" t="s">
        <v>567</v>
      </c>
      <c r="B309" s="1">
        <v>45096</v>
      </c>
      <c r="C309" t="s">
        <v>523</v>
      </c>
      <c r="D309" t="s">
        <v>50</v>
      </c>
      <c r="E309" t="s">
        <v>20</v>
      </c>
      <c r="F309" t="s">
        <v>54</v>
      </c>
      <c r="G309" t="s">
        <v>55</v>
      </c>
      <c r="H309">
        <v>18</v>
      </c>
      <c r="I309">
        <v>418.08</v>
      </c>
      <c r="J309">
        <v>0</v>
      </c>
      <c r="K309">
        <v>7525.44</v>
      </c>
      <c r="L309" t="str">
        <f t="shared" si="4"/>
        <v xml:space="preserve">No_Discount </v>
      </c>
    </row>
    <row r="310" spans="1:12" x14ac:dyDescent="0.25">
      <c r="A310" t="s">
        <v>568</v>
      </c>
      <c r="B310" s="1">
        <v>45147</v>
      </c>
      <c r="C310" t="s">
        <v>429</v>
      </c>
      <c r="D310" t="s">
        <v>99</v>
      </c>
      <c r="E310" t="s">
        <v>36</v>
      </c>
      <c r="F310" t="s">
        <v>82</v>
      </c>
      <c r="G310" t="s">
        <v>43</v>
      </c>
      <c r="H310">
        <v>12</v>
      </c>
      <c r="I310">
        <v>1262</v>
      </c>
      <c r="J310">
        <v>0</v>
      </c>
      <c r="K310">
        <v>15144</v>
      </c>
      <c r="L310" t="str">
        <f t="shared" si="4"/>
        <v xml:space="preserve">No_Discount </v>
      </c>
    </row>
    <row r="311" spans="1:12" x14ac:dyDescent="0.25">
      <c r="A311" t="s">
        <v>569</v>
      </c>
      <c r="B311" s="1">
        <v>45201</v>
      </c>
      <c r="C311" t="s">
        <v>198</v>
      </c>
      <c r="D311" t="s">
        <v>50</v>
      </c>
      <c r="E311" t="s">
        <v>60</v>
      </c>
      <c r="F311" t="s">
        <v>27</v>
      </c>
      <c r="G311" t="s">
        <v>28</v>
      </c>
      <c r="H311">
        <v>21</v>
      </c>
      <c r="I311">
        <v>124.13</v>
      </c>
      <c r="J311">
        <v>0.05</v>
      </c>
      <c r="K311">
        <v>2476.39</v>
      </c>
      <c r="L311" t="str">
        <f t="shared" si="4"/>
        <v xml:space="preserve">Low </v>
      </c>
    </row>
    <row r="312" spans="1:12" x14ac:dyDescent="0.25">
      <c r="A312" t="s">
        <v>570</v>
      </c>
      <c r="B312" s="1">
        <v>45205</v>
      </c>
      <c r="C312" t="s">
        <v>571</v>
      </c>
      <c r="D312" t="s">
        <v>99</v>
      </c>
      <c r="E312" t="s">
        <v>20</v>
      </c>
      <c r="F312" t="s">
        <v>15</v>
      </c>
      <c r="G312" t="s">
        <v>16</v>
      </c>
      <c r="H312">
        <v>19</v>
      </c>
      <c r="I312">
        <v>99.89</v>
      </c>
      <c r="J312">
        <v>0.05</v>
      </c>
      <c r="K312">
        <v>1803.01</v>
      </c>
      <c r="L312" t="str">
        <f t="shared" si="4"/>
        <v xml:space="preserve">Low </v>
      </c>
    </row>
    <row r="313" spans="1:12" x14ac:dyDescent="0.25">
      <c r="A313" t="s">
        <v>572</v>
      </c>
      <c r="B313" s="1">
        <v>44976</v>
      </c>
      <c r="C313" t="s">
        <v>531</v>
      </c>
      <c r="D313" t="s">
        <v>31</v>
      </c>
      <c r="E313" t="s">
        <v>60</v>
      </c>
      <c r="F313" t="s">
        <v>21</v>
      </c>
      <c r="G313" t="s">
        <v>22</v>
      </c>
      <c r="H313">
        <v>26</v>
      </c>
      <c r="I313">
        <v>75.569999999999993</v>
      </c>
      <c r="J313">
        <v>0.15</v>
      </c>
      <c r="K313">
        <v>1670.1</v>
      </c>
      <c r="L313" t="str">
        <f t="shared" si="4"/>
        <v xml:space="preserve">Medium </v>
      </c>
    </row>
    <row r="314" spans="1:12" x14ac:dyDescent="0.25">
      <c r="A314" t="s">
        <v>573</v>
      </c>
      <c r="B314" s="1">
        <v>45134</v>
      </c>
      <c r="C314" t="s">
        <v>574</v>
      </c>
      <c r="D314" t="s">
        <v>53</v>
      </c>
      <c r="E314" t="s">
        <v>20</v>
      </c>
      <c r="F314" t="s">
        <v>27</v>
      </c>
      <c r="G314" t="s">
        <v>28</v>
      </c>
      <c r="H314">
        <v>9</v>
      </c>
      <c r="I314">
        <v>125.93</v>
      </c>
      <c r="J314">
        <v>0</v>
      </c>
      <c r="K314">
        <v>1133.3699999999999</v>
      </c>
      <c r="L314" t="str">
        <f t="shared" si="4"/>
        <v xml:space="preserve">No_Discount </v>
      </c>
    </row>
    <row r="315" spans="1:12" x14ac:dyDescent="0.25">
      <c r="A315" t="s">
        <v>575</v>
      </c>
      <c r="B315" s="1">
        <v>44937</v>
      </c>
      <c r="C315" t="s">
        <v>548</v>
      </c>
      <c r="D315" t="s">
        <v>53</v>
      </c>
      <c r="E315" t="s">
        <v>36</v>
      </c>
      <c r="F315" t="s">
        <v>21</v>
      </c>
      <c r="G315" t="s">
        <v>22</v>
      </c>
      <c r="H315">
        <v>26</v>
      </c>
      <c r="I315">
        <v>91.34</v>
      </c>
      <c r="J315">
        <v>0</v>
      </c>
      <c r="K315">
        <v>2374.84</v>
      </c>
      <c r="L315" t="str">
        <f t="shared" si="4"/>
        <v xml:space="preserve">No_Discount </v>
      </c>
    </row>
    <row r="316" spans="1:12" x14ac:dyDescent="0.25">
      <c r="A316" t="s">
        <v>576</v>
      </c>
      <c r="B316" s="1">
        <v>45076</v>
      </c>
      <c r="C316" t="s">
        <v>226</v>
      </c>
      <c r="D316" t="s">
        <v>39</v>
      </c>
      <c r="E316" t="s">
        <v>20</v>
      </c>
      <c r="F316" t="s">
        <v>42</v>
      </c>
      <c r="G316" t="s">
        <v>43</v>
      </c>
      <c r="H316">
        <v>6</v>
      </c>
      <c r="I316">
        <v>301.45999999999998</v>
      </c>
      <c r="J316">
        <v>-0.56999999999999995</v>
      </c>
      <c r="K316">
        <v>2842.1</v>
      </c>
      <c r="L316" t="str">
        <f t="shared" si="4"/>
        <v xml:space="preserve">Low </v>
      </c>
    </row>
    <row r="317" spans="1:12" x14ac:dyDescent="0.25">
      <c r="A317" t="s">
        <v>577</v>
      </c>
      <c r="B317" s="1">
        <v>44943</v>
      </c>
      <c r="C317" t="s">
        <v>265</v>
      </c>
      <c r="D317" t="s">
        <v>76</v>
      </c>
      <c r="E317" t="s">
        <v>36</v>
      </c>
      <c r="F317" t="s">
        <v>82</v>
      </c>
      <c r="G317" t="s">
        <v>43</v>
      </c>
      <c r="H317">
        <v>4</v>
      </c>
      <c r="I317">
        <v>1083.56</v>
      </c>
      <c r="J317">
        <v>0</v>
      </c>
      <c r="K317">
        <v>4334.24</v>
      </c>
      <c r="L317" t="str">
        <f t="shared" si="4"/>
        <v xml:space="preserve">No_Discount </v>
      </c>
    </row>
    <row r="318" spans="1:12" x14ac:dyDescent="0.25">
      <c r="A318" t="s">
        <v>578</v>
      </c>
      <c r="B318" s="1">
        <v>44999</v>
      </c>
      <c r="C318" t="s">
        <v>111</v>
      </c>
      <c r="D318" t="s">
        <v>99</v>
      </c>
      <c r="E318" t="s">
        <v>20</v>
      </c>
      <c r="F318" t="s">
        <v>32</v>
      </c>
      <c r="G318" t="s">
        <v>22</v>
      </c>
      <c r="H318">
        <v>29</v>
      </c>
      <c r="I318">
        <v>51.67</v>
      </c>
      <c r="J318">
        <v>0</v>
      </c>
      <c r="K318">
        <v>1498.43</v>
      </c>
      <c r="L318" t="str">
        <f t="shared" si="4"/>
        <v xml:space="preserve">No_Discount </v>
      </c>
    </row>
    <row r="319" spans="1:12" x14ac:dyDescent="0.25">
      <c r="A319" t="s">
        <v>579</v>
      </c>
      <c r="B319" s="1">
        <v>45112</v>
      </c>
      <c r="C319" t="s">
        <v>580</v>
      </c>
      <c r="D319" t="s">
        <v>39</v>
      </c>
      <c r="E319" t="s">
        <v>20</v>
      </c>
      <c r="F319" t="s">
        <v>27</v>
      </c>
      <c r="G319" t="s">
        <v>28</v>
      </c>
      <c r="H319">
        <v>49</v>
      </c>
      <c r="I319">
        <v>135.62</v>
      </c>
      <c r="J319">
        <v>0</v>
      </c>
      <c r="K319">
        <v>6645.38</v>
      </c>
      <c r="L319" t="str">
        <f t="shared" si="4"/>
        <v xml:space="preserve">No_Discount </v>
      </c>
    </row>
    <row r="320" spans="1:12" x14ac:dyDescent="0.25">
      <c r="A320" t="s">
        <v>581</v>
      </c>
      <c r="B320" s="1">
        <v>45216</v>
      </c>
      <c r="C320" t="s">
        <v>582</v>
      </c>
      <c r="D320" t="s">
        <v>53</v>
      </c>
      <c r="E320" t="s">
        <v>36</v>
      </c>
      <c r="F320" t="s">
        <v>32</v>
      </c>
      <c r="G320" t="s">
        <v>22</v>
      </c>
      <c r="H320">
        <v>48</v>
      </c>
      <c r="I320">
        <v>49.09</v>
      </c>
      <c r="J320">
        <v>0.2</v>
      </c>
      <c r="K320">
        <v>1885.06</v>
      </c>
      <c r="L320" t="str">
        <f t="shared" si="4"/>
        <v xml:space="preserve">Medium </v>
      </c>
    </row>
    <row r="321" spans="1:12" x14ac:dyDescent="0.25">
      <c r="A321" t="s">
        <v>583</v>
      </c>
      <c r="B321" s="1">
        <v>45051</v>
      </c>
      <c r="C321" t="s">
        <v>584</v>
      </c>
      <c r="D321" t="s">
        <v>39</v>
      </c>
      <c r="E321" t="s">
        <v>36</v>
      </c>
      <c r="F321" t="s">
        <v>82</v>
      </c>
      <c r="G321" t="s">
        <v>43</v>
      </c>
      <c r="H321">
        <v>16</v>
      </c>
      <c r="I321">
        <v>1156.93</v>
      </c>
      <c r="J321">
        <v>0.05</v>
      </c>
      <c r="K321">
        <v>17585.34</v>
      </c>
      <c r="L321" t="str">
        <f t="shared" si="4"/>
        <v xml:space="preserve">Low </v>
      </c>
    </row>
    <row r="322" spans="1:12" x14ac:dyDescent="0.25">
      <c r="A322" t="s">
        <v>585</v>
      </c>
      <c r="B322" s="1">
        <v>45177</v>
      </c>
      <c r="C322" t="s">
        <v>508</v>
      </c>
      <c r="D322" t="s">
        <v>50</v>
      </c>
      <c r="E322" t="s">
        <v>20</v>
      </c>
      <c r="F322" t="s">
        <v>42</v>
      </c>
      <c r="G322" t="s">
        <v>43</v>
      </c>
      <c r="H322">
        <v>36</v>
      </c>
      <c r="I322">
        <v>313.5</v>
      </c>
      <c r="J322">
        <v>0</v>
      </c>
      <c r="K322">
        <v>11286</v>
      </c>
      <c r="L322" t="str">
        <f t="shared" ref="L322:L385" si="5">IF(J322=0, "No_Discount ", IF(J322&lt;=0.1, "Low ", IF(J322&lt;=0.2, "Medium ", "High ")))</f>
        <v xml:space="preserve">No_Discount </v>
      </c>
    </row>
    <row r="323" spans="1:12" x14ac:dyDescent="0.25">
      <c r="A323" t="s">
        <v>586</v>
      </c>
      <c r="B323" s="1">
        <v>44964</v>
      </c>
      <c r="C323" t="s">
        <v>162</v>
      </c>
      <c r="D323" t="s">
        <v>99</v>
      </c>
      <c r="E323" t="s">
        <v>14</v>
      </c>
      <c r="F323" t="s">
        <v>32</v>
      </c>
      <c r="G323" t="s">
        <v>22</v>
      </c>
      <c r="H323">
        <v>46</v>
      </c>
      <c r="I323">
        <v>50.32</v>
      </c>
      <c r="J323">
        <v>0</v>
      </c>
      <c r="K323">
        <v>2314.7199999999998</v>
      </c>
      <c r="L323" t="str">
        <f t="shared" si="5"/>
        <v xml:space="preserve">No_Discount </v>
      </c>
    </row>
    <row r="324" spans="1:12" x14ac:dyDescent="0.25">
      <c r="A324" t="s">
        <v>587</v>
      </c>
      <c r="B324" s="1">
        <v>45147</v>
      </c>
      <c r="C324" t="s">
        <v>190</v>
      </c>
      <c r="D324" t="s">
        <v>31</v>
      </c>
      <c r="E324" t="s">
        <v>26</v>
      </c>
      <c r="F324" t="s">
        <v>42</v>
      </c>
      <c r="G324" t="s">
        <v>43</v>
      </c>
      <c r="H324">
        <v>41</v>
      </c>
      <c r="I324">
        <v>304.43</v>
      </c>
      <c r="J324">
        <v>0</v>
      </c>
      <c r="K324">
        <v>12481.63</v>
      </c>
      <c r="L324" t="str">
        <f t="shared" si="5"/>
        <v xml:space="preserve">No_Discount </v>
      </c>
    </row>
    <row r="325" spans="1:12" x14ac:dyDescent="0.25">
      <c r="A325" t="s">
        <v>588</v>
      </c>
      <c r="B325" s="1">
        <v>45126</v>
      </c>
      <c r="C325" t="s">
        <v>589</v>
      </c>
      <c r="D325" t="s">
        <v>31</v>
      </c>
      <c r="E325" t="s">
        <v>36</v>
      </c>
      <c r="F325" t="s">
        <v>32</v>
      </c>
      <c r="G325" t="s">
        <v>22</v>
      </c>
      <c r="H325">
        <v>34</v>
      </c>
      <c r="I325">
        <v>51.64</v>
      </c>
      <c r="J325">
        <v>0</v>
      </c>
      <c r="K325">
        <v>1755.76</v>
      </c>
      <c r="L325" t="str">
        <f t="shared" si="5"/>
        <v xml:space="preserve">No_Discount </v>
      </c>
    </row>
    <row r="326" spans="1:12" x14ac:dyDescent="0.25">
      <c r="A326" t="s">
        <v>590</v>
      </c>
      <c r="B326" s="1">
        <v>45127</v>
      </c>
      <c r="C326" t="s">
        <v>307</v>
      </c>
      <c r="D326" t="s">
        <v>25</v>
      </c>
      <c r="E326" t="s">
        <v>26</v>
      </c>
      <c r="F326" t="s">
        <v>79</v>
      </c>
      <c r="G326" t="s">
        <v>22</v>
      </c>
      <c r="H326">
        <v>6</v>
      </c>
      <c r="I326">
        <v>34.130000000000003</v>
      </c>
      <c r="J326">
        <v>0</v>
      </c>
      <c r="K326">
        <v>204.78</v>
      </c>
      <c r="L326" t="str">
        <f t="shared" si="5"/>
        <v xml:space="preserve">No_Discount </v>
      </c>
    </row>
    <row r="327" spans="1:12" x14ac:dyDescent="0.25">
      <c r="A327" t="s">
        <v>591</v>
      </c>
      <c r="B327" s="1">
        <v>45018</v>
      </c>
      <c r="C327" t="s">
        <v>592</v>
      </c>
      <c r="D327" t="s">
        <v>99</v>
      </c>
      <c r="E327" t="s">
        <v>60</v>
      </c>
      <c r="F327" t="s">
        <v>79</v>
      </c>
      <c r="G327" t="s">
        <v>22</v>
      </c>
      <c r="H327">
        <v>34</v>
      </c>
      <c r="I327">
        <v>38.11</v>
      </c>
      <c r="J327">
        <v>0.2</v>
      </c>
      <c r="K327">
        <v>1036.5899999999999</v>
      </c>
      <c r="L327" t="str">
        <f t="shared" si="5"/>
        <v xml:space="preserve">Medium </v>
      </c>
    </row>
    <row r="328" spans="1:12" x14ac:dyDescent="0.25">
      <c r="A328" t="s">
        <v>593</v>
      </c>
      <c r="B328" s="1">
        <v>45227</v>
      </c>
      <c r="C328" t="s">
        <v>594</v>
      </c>
      <c r="D328" t="s">
        <v>39</v>
      </c>
      <c r="E328" t="s">
        <v>14</v>
      </c>
      <c r="F328" t="s">
        <v>79</v>
      </c>
      <c r="G328" t="s">
        <v>22</v>
      </c>
      <c r="H328">
        <v>5</v>
      </c>
      <c r="I328">
        <v>37.69</v>
      </c>
      <c r="J328">
        <v>0</v>
      </c>
      <c r="K328">
        <v>188.45</v>
      </c>
      <c r="L328" t="str">
        <f t="shared" si="5"/>
        <v xml:space="preserve">No_Discount </v>
      </c>
    </row>
    <row r="329" spans="1:12" x14ac:dyDescent="0.25">
      <c r="A329" t="s">
        <v>595</v>
      </c>
      <c r="B329" s="1">
        <v>45022</v>
      </c>
      <c r="C329" t="s">
        <v>302</v>
      </c>
      <c r="D329" t="s">
        <v>67</v>
      </c>
      <c r="E329" t="s">
        <v>60</v>
      </c>
      <c r="F329" t="s">
        <v>79</v>
      </c>
      <c r="G329" t="s">
        <v>22</v>
      </c>
      <c r="H329">
        <v>6</v>
      </c>
      <c r="I329">
        <v>35.85</v>
      </c>
      <c r="J329">
        <v>0</v>
      </c>
      <c r="K329">
        <v>215.1</v>
      </c>
      <c r="L329" t="str">
        <f t="shared" si="5"/>
        <v xml:space="preserve">No_Discount </v>
      </c>
    </row>
    <row r="330" spans="1:12" x14ac:dyDescent="0.25">
      <c r="A330" t="s">
        <v>596</v>
      </c>
      <c r="B330" s="1">
        <v>45230</v>
      </c>
      <c r="C330" t="s">
        <v>597</v>
      </c>
      <c r="D330" t="s">
        <v>19</v>
      </c>
      <c r="E330" t="s">
        <v>26</v>
      </c>
      <c r="F330" t="s">
        <v>21</v>
      </c>
      <c r="G330" t="s">
        <v>22</v>
      </c>
      <c r="H330">
        <v>17</v>
      </c>
      <c r="I330">
        <v>89.12</v>
      </c>
      <c r="J330">
        <v>0</v>
      </c>
      <c r="K330">
        <v>1515.04</v>
      </c>
      <c r="L330" t="str">
        <f t="shared" si="5"/>
        <v xml:space="preserve">No_Discount </v>
      </c>
    </row>
    <row r="331" spans="1:12" x14ac:dyDescent="0.25">
      <c r="A331" t="s">
        <v>598</v>
      </c>
      <c r="B331" s="1">
        <v>45224</v>
      </c>
      <c r="C331" t="s">
        <v>599</v>
      </c>
      <c r="D331" t="s">
        <v>99</v>
      </c>
      <c r="E331" t="s">
        <v>26</v>
      </c>
      <c r="F331" t="s">
        <v>42</v>
      </c>
      <c r="G331" t="s">
        <v>43</v>
      </c>
      <c r="H331">
        <v>44</v>
      </c>
      <c r="I331">
        <v>324.99</v>
      </c>
      <c r="J331">
        <v>0</v>
      </c>
      <c r="K331">
        <v>14299.56</v>
      </c>
      <c r="L331" t="str">
        <f t="shared" si="5"/>
        <v xml:space="preserve">No_Discount </v>
      </c>
    </row>
    <row r="332" spans="1:12" x14ac:dyDescent="0.25">
      <c r="A332" t="s">
        <v>600</v>
      </c>
      <c r="B332" s="1">
        <v>45180</v>
      </c>
      <c r="C332" t="s">
        <v>601</v>
      </c>
      <c r="D332" t="s">
        <v>31</v>
      </c>
      <c r="E332" t="s">
        <v>60</v>
      </c>
      <c r="F332" t="s">
        <v>54</v>
      </c>
      <c r="G332" t="s">
        <v>55</v>
      </c>
      <c r="H332">
        <v>23</v>
      </c>
      <c r="I332">
        <v>427.44</v>
      </c>
      <c r="J332">
        <v>0.2</v>
      </c>
      <c r="K332">
        <v>7864.9</v>
      </c>
      <c r="L332" t="str">
        <f t="shared" si="5"/>
        <v xml:space="preserve">Medium </v>
      </c>
    </row>
    <row r="333" spans="1:12" x14ac:dyDescent="0.25">
      <c r="A333" t="s">
        <v>602</v>
      </c>
      <c r="B333" s="1">
        <v>45258</v>
      </c>
      <c r="C333" t="s">
        <v>41</v>
      </c>
      <c r="D333" t="s">
        <v>19</v>
      </c>
      <c r="E333" t="s">
        <v>14</v>
      </c>
      <c r="F333" t="s">
        <v>82</v>
      </c>
      <c r="G333" t="s">
        <v>43</v>
      </c>
      <c r="H333">
        <v>36</v>
      </c>
      <c r="I333">
        <v>1154.25</v>
      </c>
      <c r="J333">
        <v>0</v>
      </c>
      <c r="K333">
        <v>41553</v>
      </c>
      <c r="L333" t="str">
        <f t="shared" si="5"/>
        <v xml:space="preserve">No_Discount </v>
      </c>
    </row>
    <row r="334" spans="1:12" x14ac:dyDescent="0.25">
      <c r="A334" t="s">
        <v>603</v>
      </c>
      <c r="B334" s="1">
        <v>45095</v>
      </c>
      <c r="C334" t="s">
        <v>389</v>
      </c>
      <c r="D334" t="s">
        <v>76</v>
      </c>
      <c r="E334" t="s">
        <v>60</v>
      </c>
      <c r="F334" t="s">
        <v>54</v>
      </c>
      <c r="G334" t="s">
        <v>55</v>
      </c>
      <c r="H334">
        <v>9</v>
      </c>
      <c r="I334">
        <v>424.78</v>
      </c>
      <c r="J334">
        <v>0.1</v>
      </c>
      <c r="K334">
        <v>3440.72</v>
      </c>
      <c r="L334" t="str">
        <f t="shared" si="5"/>
        <v xml:space="preserve">Low </v>
      </c>
    </row>
    <row r="335" spans="1:12" x14ac:dyDescent="0.25">
      <c r="A335" t="s">
        <v>604</v>
      </c>
      <c r="B335" s="1">
        <v>45061</v>
      </c>
      <c r="C335" t="s">
        <v>605</v>
      </c>
      <c r="D335" t="s">
        <v>19</v>
      </c>
      <c r="E335" t="s">
        <v>36</v>
      </c>
      <c r="F335" t="s">
        <v>42</v>
      </c>
      <c r="G335" t="s">
        <v>43</v>
      </c>
      <c r="H335">
        <v>29</v>
      </c>
      <c r="I335">
        <v>309.98</v>
      </c>
      <c r="J335">
        <v>0</v>
      </c>
      <c r="K335">
        <v>8989.42</v>
      </c>
      <c r="L335" t="str">
        <f t="shared" si="5"/>
        <v xml:space="preserve">No_Discount </v>
      </c>
    </row>
    <row r="336" spans="1:12" x14ac:dyDescent="0.25">
      <c r="A336" t="s">
        <v>606</v>
      </c>
      <c r="B336" s="1">
        <v>45121</v>
      </c>
      <c r="C336" t="s">
        <v>242</v>
      </c>
      <c r="D336" t="s">
        <v>25</v>
      </c>
      <c r="E336" t="s">
        <v>60</v>
      </c>
      <c r="F336" t="s">
        <v>82</v>
      </c>
      <c r="G336" t="s">
        <v>43</v>
      </c>
      <c r="H336">
        <v>1</v>
      </c>
      <c r="I336">
        <v>1142.2</v>
      </c>
      <c r="J336">
        <v>0.2</v>
      </c>
      <c r="K336">
        <v>913.76</v>
      </c>
      <c r="L336" t="str">
        <f t="shared" si="5"/>
        <v xml:space="preserve">Medium </v>
      </c>
    </row>
    <row r="337" spans="1:12" x14ac:dyDescent="0.25">
      <c r="A337" t="s">
        <v>607</v>
      </c>
      <c r="B337" s="1">
        <v>45013</v>
      </c>
      <c r="C337" t="s">
        <v>366</v>
      </c>
      <c r="D337" t="s">
        <v>19</v>
      </c>
      <c r="E337" t="s">
        <v>36</v>
      </c>
      <c r="F337" t="s">
        <v>42</v>
      </c>
      <c r="G337" t="s">
        <v>43</v>
      </c>
      <c r="H337">
        <v>42</v>
      </c>
      <c r="I337">
        <v>331.37</v>
      </c>
      <c r="J337">
        <v>0.1</v>
      </c>
      <c r="K337">
        <v>12525.79</v>
      </c>
      <c r="L337" t="str">
        <f t="shared" si="5"/>
        <v xml:space="preserve">Low </v>
      </c>
    </row>
    <row r="338" spans="1:12" x14ac:dyDescent="0.25">
      <c r="A338" t="s">
        <v>608</v>
      </c>
      <c r="B338" s="1">
        <v>45177</v>
      </c>
      <c r="C338" t="s">
        <v>162</v>
      </c>
      <c r="D338" t="s">
        <v>99</v>
      </c>
      <c r="E338" t="s">
        <v>14</v>
      </c>
      <c r="F338" t="s">
        <v>42</v>
      </c>
      <c r="G338" t="s">
        <v>43</v>
      </c>
      <c r="H338">
        <v>23</v>
      </c>
      <c r="I338">
        <v>316.74</v>
      </c>
      <c r="J338">
        <v>0</v>
      </c>
      <c r="K338">
        <v>7285.02</v>
      </c>
      <c r="L338" t="str">
        <f t="shared" si="5"/>
        <v xml:space="preserve">No_Discount </v>
      </c>
    </row>
    <row r="339" spans="1:12" x14ac:dyDescent="0.25">
      <c r="A339" t="s">
        <v>609</v>
      </c>
      <c r="B339" s="1">
        <v>45280</v>
      </c>
      <c r="C339" t="s">
        <v>237</v>
      </c>
      <c r="D339" t="s">
        <v>67</v>
      </c>
      <c r="E339" t="s">
        <v>20</v>
      </c>
      <c r="F339" t="s">
        <v>82</v>
      </c>
      <c r="G339" t="s">
        <v>43</v>
      </c>
      <c r="H339">
        <v>16</v>
      </c>
      <c r="I339">
        <v>1378.24</v>
      </c>
      <c r="J339">
        <v>0.2</v>
      </c>
      <c r="K339">
        <v>17641.47</v>
      </c>
      <c r="L339" t="str">
        <f t="shared" si="5"/>
        <v xml:space="preserve">Medium </v>
      </c>
    </row>
    <row r="340" spans="1:12" x14ac:dyDescent="0.25">
      <c r="A340" t="s">
        <v>610</v>
      </c>
      <c r="B340" s="1">
        <v>45039</v>
      </c>
      <c r="C340" t="s">
        <v>611</v>
      </c>
      <c r="D340" t="s">
        <v>50</v>
      </c>
      <c r="E340" t="s">
        <v>26</v>
      </c>
      <c r="F340" t="s">
        <v>79</v>
      </c>
      <c r="G340" t="s">
        <v>22</v>
      </c>
      <c r="H340">
        <v>2</v>
      </c>
      <c r="I340">
        <v>35.79</v>
      </c>
      <c r="J340">
        <v>0.15</v>
      </c>
      <c r="K340">
        <v>60.84</v>
      </c>
      <c r="L340" t="str">
        <f t="shared" si="5"/>
        <v xml:space="preserve">Medium </v>
      </c>
    </row>
    <row r="341" spans="1:12" x14ac:dyDescent="0.25">
      <c r="A341" t="s">
        <v>612</v>
      </c>
      <c r="B341" s="1">
        <v>45125</v>
      </c>
      <c r="C341" t="s">
        <v>257</v>
      </c>
      <c r="D341" t="s">
        <v>35</v>
      </c>
      <c r="E341" t="s">
        <v>14</v>
      </c>
      <c r="F341" t="s">
        <v>82</v>
      </c>
      <c r="G341" t="s">
        <v>43</v>
      </c>
      <c r="H341">
        <v>1</v>
      </c>
      <c r="I341">
        <v>1294.24</v>
      </c>
      <c r="J341">
        <v>0.15</v>
      </c>
      <c r="K341">
        <v>1100.0999999999999</v>
      </c>
      <c r="L341" t="str">
        <f t="shared" si="5"/>
        <v xml:space="preserve">Medium </v>
      </c>
    </row>
    <row r="342" spans="1:12" x14ac:dyDescent="0.25">
      <c r="A342" t="s">
        <v>613</v>
      </c>
      <c r="B342" s="1">
        <v>45183</v>
      </c>
      <c r="C342" t="s">
        <v>277</v>
      </c>
      <c r="D342" t="s">
        <v>35</v>
      </c>
      <c r="E342" t="s">
        <v>36</v>
      </c>
      <c r="F342" t="s">
        <v>27</v>
      </c>
      <c r="G342" t="s">
        <v>28</v>
      </c>
      <c r="H342">
        <v>33</v>
      </c>
      <c r="I342">
        <v>132.47</v>
      </c>
      <c r="J342">
        <v>0.05</v>
      </c>
      <c r="K342">
        <v>4152.93</v>
      </c>
      <c r="L342" t="str">
        <f t="shared" si="5"/>
        <v xml:space="preserve">Low </v>
      </c>
    </row>
    <row r="343" spans="1:12" x14ac:dyDescent="0.25">
      <c r="A343" t="s">
        <v>614</v>
      </c>
      <c r="B343" s="1">
        <v>45128</v>
      </c>
      <c r="C343" t="s">
        <v>615</v>
      </c>
      <c r="D343" t="s">
        <v>50</v>
      </c>
      <c r="E343" t="s">
        <v>14</v>
      </c>
      <c r="F343" t="s">
        <v>82</v>
      </c>
      <c r="G343" t="s">
        <v>43</v>
      </c>
      <c r="H343">
        <v>20</v>
      </c>
      <c r="I343">
        <v>1300.99</v>
      </c>
      <c r="J343">
        <v>0.05</v>
      </c>
      <c r="K343">
        <v>24718.81</v>
      </c>
      <c r="L343" t="str">
        <f t="shared" si="5"/>
        <v xml:space="preserve">Low </v>
      </c>
    </row>
    <row r="344" spans="1:12" x14ac:dyDescent="0.25">
      <c r="A344" t="s">
        <v>616</v>
      </c>
      <c r="B344" s="1">
        <v>45186</v>
      </c>
      <c r="C344" t="s">
        <v>235</v>
      </c>
      <c r="D344" t="s">
        <v>99</v>
      </c>
      <c r="E344" t="s">
        <v>36</v>
      </c>
      <c r="F344" t="s">
        <v>15</v>
      </c>
      <c r="G344" t="s">
        <v>16</v>
      </c>
      <c r="H344">
        <v>39</v>
      </c>
      <c r="I344">
        <v>88.67</v>
      </c>
      <c r="J344">
        <v>-0.21</v>
      </c>
      <c r="K344">
        <v>4198.26</v>
      </c>
      <c r="L344" t="str">
        <f t="shared" si="5"/>
        <v xml:space="preserve">Low </v>
      </c>
    </row>
    <row r="345" spans="1:12" x14ac:dyDescent="0.25">
      <c r="A345" t="s">
        <v>617</v>
      </c>
      <c r="B345" s="1">
        <v>45158</v>
      </c>
      <c r="C345" t="s">
        <v>618</v>
      </c>
      <c r="D345" t="s">
        <v>13</v>
      </c>
      <c r="E345" t="s">
        <v>20</v>
      </c>
      <c r="F345" t="s">
        <v>82</v>
      </c>
      <c r="G345" t="s">
        <v>43</v>
      </c>
      <c r="H345">
        <v>18</v>
      </c>
      <c r="I345">
        <v>1298.3599999999999</v>
      </c>
      <c r="J345">
        <v>0.1</v>
      </c>
      <c r="K345">
        <v>21033.43</v>
      </c>
      <c r="L345" t="str">
        <f t="shared" si="5"/>
        <v xml:space="preserve">Low </v>
      </c>
    </row>
    <row r="346" spans="1:12" x14ac:dyDescent="0.25">
      <c r="A346" t="s">
        <v>619</v>
      </c>
      <c r="B346" s="1">
        <v>45079</v>
      </c>
      <c r="C346" t="s">
        <v>620</v>
      </c>
      <c r="D346" t="s">
        <v>39</v>
      </c>
      <c r="E346" t="s">
        <v>60</v>
      </c>
      <c r="F346" t="s">
        <v>32</v>
      </c>
      <c r="G346" t="s">
        <v>22</v>
      </c>
      <c r="H346">
        <v>27</v>
      </c>
      <c r="I346">
        <v>47.78</v>
      </c>
      <c r="J346">
        <v>0.1</v>
      </c>
      <c r="K346">
        <v>1161.05</v>
      </c>
      <c r="L346" t="str">
        <f t="shared" si="5"/>
        <v xml:space="preserve">Low </v>
      </c>
    </row>
    <row r="347" spans="1:12" x14ac:dyDescent="0.25">
      <c r="A347" t="s">
        <v>621</v>
      </c>
      <c r="B347" s="1">
        <v>45217</v>
      </c>
      <c r="C347" t="s">
        <v>622</v>
      </c>
      <c r="D347" t="s">
        <v>99</v>
      </c>
      <c r="E347" t="s">
        <v>20</v>
      </c>
      <c r="F347" t="s">
        <v>15</v>
      </c>
      <c r="G347" t="s">
        <v>16</v>
      </c>
      <c r="H347">
        <v>46</v>
      </c>
      <c r="I347">
        <v>89.36</v>
      </c>
      <c r="J347">
        <v>0</v>
      </c>
      <c r="K347">
        <v>4110.5600000000004</v>
      </c>
      <c r="L347" t="str">
        <f t="shared" si="5"/>
        <v xml:space="preserve">No_Discount </v>
      </c>
    </row>
    <row r="348" spans="1:12" x14ac:dyDescent="0.25">
      <c r="A348" t="s">
        <v>623</v>
      </c>
      <c r="B348" s="1">
        <v>45053</v>
      </c>
      <c r="C348" t="s">
        <v>624</v>
      </c>
      <c r="D348" t="s">
        <v>25</v>
      </c>
      <c r="E348" t="s">
        <v>26</v>
      </c>
      <c r="F348" t="s">
        <v>82</v>
      </c>
      <c r="G348" t="s">
        <v>43</v>
      </c>
      <c r="H348">
        <v>5</v>
      </c>
      <c r="I348">
        <v>1081.98</v>
      </c>
      <c r="J348">
        <v>0</v>
      </c>
      <c r="K348">
        <v>5409.9</v>
      </c>
      <c r="L348" t="str">
        <f t="shared" si="5"/>
        <v xml:space="preserve">No_Discount </v>
      </c>
    </row>
    <row r="349" spans="1:12" x14ac:dyDescent="0.25">
      <c r="A349" t="s">
        <v>426</v>
      </c>
      <c r="B349" s="1">
        <v>44979</v>
      </c>
      <c r="C349" t="s">
        <v>427</v>
      </c>
      <c r="D349" t="s">
        <v>67</v>
      </c>
      <c r="E349" t="s">
        <v>20</v>
      </c>
      <c r="F349" t="s">
        <v>42</v>
      </c>
      <c r="G349" t="s">
        <v>43</v>
      </c>
      <c r="H349">
        <v>24</v>
      </c>
      <c r="I349">
        <v>363.88</v>
      </c>
      <c r="J349">
        <v>0</v>
      </c>
      <c r="K349">
        <v>8733.1200000000008</v>
      </c>
      <c r="L349" t="str">
        <f t="shared" si="5"/>
        <v xml:space="preserve">No_Discount </v>
      </c>
    </row>
    <row r="350" spans="1:12" x14ac:dyDescent="0.25">
      <c r="A350" t="s">
        <v>625</v>
      </c>
      <c r="B350" s="1">
        <v>44954</v>
      </c>
      <c r="C350" t="s">
        <v>131</v>
      </c>
      <c r="D350" t="s">
        <v>19</v>
      </c>
      <c r="E350" t="s">
        <v>60</v>
      </c>
      <c r="F350" t="s">
        <v>42</v>
      </c>
      <c r="G350" t="s">
        <v>43</v>
      </c>
      <c r="H350">
        <v>28</v>
      </c>
      <c r="I350">
        <v>341.9</v>
      </c>
      <c r="J350">
        <v>0</v>
      </c>
      <c r="K350">
        <v>9573.2000000000007</v>
      </c>
      <c r="L350" t="str">
        <f t="shared" si="5"/>
        <v xml:space="preserve">No_Discount </v>
      </c>
    </row>
    <row r="351" spans="1:12" x14ac:dyDescent="0.25">
      <c r="A351" t="s">
        <v>626</v>
      </c>
      <c r="B351" s="1">
        <v>45214</v>
      </c>
      <c r="C351" t="s">
        <v>627</v>
      </c>
      <c r="D351" t="s">
        <v>19</v>
      </c>
      <c r="E351" t="s">
        <v>36</v>
      </c>
      <c r="F351" t="s">
        <v>32</v>
      </c>
      <c r="G351" t="s">
        <v>22</v>
      </c>
      <c r="H351">
        <v>6</v>
      </c>
      <c r="I351">
        <v>43.43</v>
      </c>
      <c r="J351">
        <v>0</v>
      </c>
      <c r="K351">
        <v>260.58</v>
      </c>
      <c r="L351" t="str">
        <f t="shared" si="5"/>
        <v xml:space="preserve">No_Discount </v>
      </c>
    </row>
    <row r="352" spans="1:12" x14ac:dyDescent="0.25">
      <c r="A352" t="s">
        <v>628</v>
      </c>
      <c r="B352" s="1">
        <v>45111</v>
      </c>
      <c r="C352" t="s">
        <v>629</v>
      </c>
      <c r="D352" t="s">
        <v>39</v>
      </c>
      <c r="E352" t="s">
        <v>14</v>
      </c>
      <c r="F352" t="s">
        <v>54</v>
      </c>
      <c r="G352" t="s">
        <v>55</v>
      </c>
      <c r="H352">
        <v>24</v>
      </c>
      <c r="I352">
        <v>450.78</v>
      </c>
      <c r="J352">
        <v>0</v>
      </c>
      <c r="K352">
        <v>10818.72</v>
      </c>
      <c r="L352" t="str">
        <f t="shared" si="5"/>
        <v xml:space="preserve">No_Discount </v>
      </c>
    </row>
    <row r="353" spans="1:12" x14ac:dyDescent="0.25">
      <c r="A353" t="s">
        <v>630</v>
      </c>
      <c r="B353" s="1">
        <v>45210</v>
      </c>
      <c r="C353" t="s">
        <v>631</v>
      </c>
      <c r="D353" t="s">
        <v>50</v>
      </c>
      <c r="E353" t="s">
        <v>36</v>
      </c>
      <c r="F353" t="s">
        <v>27</v>
      </c>
      <c r="G353" t="s">
        <v>28</v>
      </c>
      <c r="H353">
        <v>7</v>
      </c>
      <c r="I353">
        <v>112.43</v>
      </c>
      <c r="J353">
        <v>0.2</v>
      </c>
      <c r="K353">
        <v>629.61</v>
      </c>
      <c r="L353" t="str">
        <f t="shared" si="5"/>
        <v xml:space="preserve">Medium </v>
      </c>
    </row>
    <row r="354" spans="1:12" x14ac:dyDescent="0.25">
      <c r="A354" t="s">
        <v>632</v>
      </c>
      <c r="B354" s="1">
        <v>44929</v>
      </c>
      <c r="C354" t="s">
        <v>633</v>
      </c>
      <c r="D354" t="s">
        <v>31</v>
      </c>
      <c r="E354" t="s">
        <v>60</v>
      </c>
      <c r="F354" t="s">
        <v>79</v>
      </c>
      <c r="G354" t="s">
        <v>22</v>
      </c>
      <c r="H354">
        <v>34</v>
      </c>
      <c r="I354">
        <v>33.15</v>
      </c>
      <c r="J354">
        <v>0.15</v>
      </c>
      <c r="K354">
        <v>958.03</v>
      </c>
      <c r="L354" t="str">
        <f t="shared" si="5"/>
        <v xml:space="preserve">Medium </v>
      </c>
    </row>
    <row r="355" spans="1:12" x14ac:dyDescent="0.25">
      <c r="A355" t="s">
        <v>634</v>
      </c>
      <c r="B355" s="1">
        <v>45044</v>
      </c>
      <c r="C355" t="s">
        <v>635</v>
      </c>
      <c r="D355" t="s">
        <v>53</v>
      </c>
      <c r="E355" t="s">
        <v>14</v>
      </c>
      <c r="F355" t="s">
        <v>54</v>
      </c>
      <c r="G355" t="s">
        <v>55</v>
      </c>
      <c r="H355">
        <v>16</v>
      </c>
      <c r="I355">
        <v>426.9</v>
      </c>
      <c r="J355">
        <v>0.05</v>
      </c>
      <c r="K355">
        <v>6488.88</v>
      </c>
      <c r="L355" t="str">
        <f t="shared" si="5"/>
        <v xml:space="preserve">Low </v>
      </c>
    </row>
    <row r="356" spans="1:12" x14ac:dyDescent="0.25">
      <c r="A356" t="s">
        <v>636</v>
      </c>
      <c r="B356" s="1">
        <v>44985</v>
      </c>
      <c r="C356" t="s">
        <v>637</v>
      </c>
      <c r="D356" t="s">
        <v>19</v>
      </c>
      <c r="E356" t="s">
        <v>36</v>
      </c>
      <c r="F356" t="s">
        <v>42</v>
      </c>
      <c r="G356" t="s">
        <v>43</v>
      </c>
      <c r="H356">
        <v>32</v>
      </c>
      <c r="I356">
        <v>363.33</v>
      </c>
      <c r="J356">
        <v>0</v>
      </c>
      <c r="K356">
        <v>11626.56</v>
      </c>
      <c r="L356" t="str">
        <f t="shared" si="5"/>
        <v xml:space="preserve">No_Discount </v>
      </c>
    </row>
    <row r="357" spans="1:12" x14ac:dyDescent="0.25">
      <c r="A357" t="s">
        <v>638</v>
      </c>
      <c r="B357" s="1">
        <v>45195</v>
      </c>
      <c r="C357" t="s">
        <v>41</v>
      </c>
      <c r="D357" t="s">
        <v>35</v>
      </c>
      <c r="E357" t="s">
        <v>26</v>
      </c>
      <c r="F357" t="s">
        <v>21</v>
      </c>
      <c r="G357" t="s">
        <v>22</v>
      </c>
      <c r="H357">
        <v>32</v>
      </c>
      <c r="I357">
        <v>89.22</v>
      </c>
      <c r="J357">
        <v>0.1</v>
      </c>
      <c r="K357">
        <v>2569.54</v>
      </c>
      <c r="L357" t="str">
        <f t="shared" si="5"/>
        <v xml:space="preserve">Low </v>
      </c>
    </row>
    <row r="358" spans="1:12" x14ac:dyDescent="0.25">
      <c r="A358" t="s">
        <v>639</v>
      </c>
      <c r="B358" s="1">
        <v>45134</v>
      </c>
      <c r="C358" t="s">
        <v>12</v>
      </c>
      <c r="D358" t="s">
        <v>31</v>
      </c>
      <c r="E358" t="s">
        <v>36</v>
      </c>
      <c r="F358" t="s">
        <v>32</v>
      </c>
      <c r="G358" t="s">
        <v>22</v>
      </c>
      <c r="H358">
        <v>34</v>
      </c>
      <c r="I358">
        <v>47.42</v>
      </c>
      <c r="J358">
        <v>0</v>
      </c>
      <c r="K358">
        <v>1612.28</v>
      </c>
      <c r="L358" t="str">
        <f t="shared" si="5"/>
        <v xml:space="preserve">No_Discount </v>
      </c>
    </row>
    <row r="359" spans="1:12" x14ac:dyDescent="0.25">
      <c r="A359" t="s">
        <v>640</v>
      </c>
      <c r="B359" s="1">
        <v>45179</v>
      </c>
      <c r="C359" t="s">
        <v>641</v>
      </c>
      <c r="D359" t="s">
        <v>53</v>
      </c>
      <c r="E359" t="s">
        <v>36</v>
      </c>
      <c r="F359" t="s">
        <v>54</v>
      </c>
      <c r="G359" t="s">
        <v>55</v>
      </c>
      <c r="H359">
        <v>13</v>
      </c>
      <c r="I359">
        <v>414.76</v>
      </c>
      <c r="J359">
        <v>-0.68</v>
      </c>
      <c r="K359">
        <v>9054.02</v>
      </c>
      <c r="L359" t="str">
        <f t="shared" si="5"/>
        <v xml:space="preserve">Low </v>
      </c>
    </row>
    <row r="360" spans="1:12" x14ac:dyDescent="0.25">
      <c r="A360" t="s">
        <v>642</v>
      </c>
      <c r="B360" s="1">
        <v>45229</v>
      </c>
      <c r="C360" t="s">
        <v>366</v>
      </c>
      <c r="D360" t="s">
        <v>50</v>
      </c>
      <c r="E360" t="s">
        <v>20</v>
      </c>
      <c r="F360" t="s">
        <v>32</v>
      </c>
      <c r="G360" t="s">
        <v>22</v>
      </c>
      <c r="H360">
        <v>5</v>
      </c>
      <c r="I360">
        <v>50.03</v>
      </c>
      <c r="J360">
        <v>0</v>
      </c>
      <c r="K360">
        <v>250.15</v>
      </c>
      <c r="L360" t="str">
        <f t="shared" si="5"/>
        <v xml:space="preserve">No_Discount </v>
      </c>
    </row>
    <row r="361" spans="1:12" x14ac:dyDescent="0.25">
      <c r="A361" t="s">
        <v>643</v>
      </c>
      <c r="B361" s="1">
        <v>44938</v>
      </c>
      <c r="C361" t="s">
        <v>49</v>
      </c>
      <c r="D361" t="s">
        <v>99</v>
      </c>
      <c r="E361" t="s">
        <v>14</v>
      </c>
      <c r="F361" t="s">
        <v>15</v>
      </c>
      <c r="G361" t="s">
        <v>16</v>
      </c>
      <c r="H361">
        <v>42</v>
      </c>
      <c r="I361">
        <v>99.25</v>
      </c>
      <c r="J361">
        <v>0</v>
      </c>
      <c r="K361">
        <v>4168.5</v>
      </c>
      <c r="L361" t="str">
        <f t="shared" si="5"/>
        <v xml:space="preserve">No_Discount </v>
      </c>
    </row>
    <row r="362" spans="1:12" x14ac:dyDescent="0.25">
      <c r="A362" t="s">
        <v>644</v>
      </c>
      <c r="B362" s="1">
        <v>45119</v>
      </c>
      <c r="C362" t="s">
        <v>645</v>
      </c>
      <c r="D362" t="s">
        <v>19</v>
      </c>
      <c r="E362" t="s">
        <v>20</v>
      </c>
      <c r="F362" t="s">
        <v>15</v>
      </c>
      <c r="G362" t="s">
        <v>16</v>
      </c>
      <c r="H362">
        <v>46</v>
      </c>
      <c r="I362">
        <v>101.67</v>
      </c>
      <c r="J362">
        <v>0</v>
      </c>
      <c r="K362">
        <v>4676.82</v>
      </c>
      <c r="L362" t="str">
        <f t="shared" si="5"/>
        <v xml:space="preserve">No_Discount </v>
      </c>
    </row>
    <row r="363" spans="1:12" x14ac:dyDescent="0.25">
      <c r="A363" t="s">
        <v>646</v>
      </c>
      <c r="B363" s="1">
        <v>45065</v>
      </c>
      <c r="C363" t="s">
        <v>244</v>
      </c>
      <c r="D363" t="s">
        <v>31</v>
      </c>
      <c r="E363" t="s">
        <v>26</v>
      </c>
      <c r="F363" t="s">
        <v>54</v>
      </c>
      <c r="G363" t="s">
        <v>55</v>
      </c>
      <c r="H363">
        <v>19</v>
      </c>
      <c r="I363">
        <v>473.63</v>
      </c>
      <c r="J363">
        <v>0.2</v>
      </c>
      <c r="K363">
        <v>7199.18</v>
      </c>
      <c r="L363" t="str">
        <f t="shared" si="5"/>
        <v xml:space="preserve">Medium </v>
      </c>
    </row>
    <row r="364" spans="1:12" x14ac:dyDescent="0.25">
      <c r="A364" t="s">
        <v>132</v>
      </c>
      <c r="B364" s="1">
        <v>44933</v>
      </c>
      <c r="C364" t="s">
        <v>133</v>
      </c>
      <c r="D364" t="s">
        <v>76</v>
      </c>
      <c r="E364" t="s">
        <v>20</v>
      </c>
      <c r="F364" t="s">
        <v>32</v>
      </c>
      <c r="G364" t="s">
        <v>22</v>
      </c>
      <c r="H364">
        <v>10</v>
      </c>
      <c r="I364">
        <v>49.55</v>
      </c>
      <c r="J364">
        <v>0</v>
      </c>
      <c r="K364">
        <v>495.5</v>
      </c>
      <c r="L364" t="str">
        <f t="shared" si="5"/>
        <v xml:space="preserve">No_Discount </v>
      </c>
    </row>
    <row r="365" spans="1:12" x14ac:dyDescent="0.25">
      <c r="A365" t="s">
        <v>647</v>
      </c>
      <c r="B365" s="1">
        <v>45113</v>
      </c>
      <c r="C365" t="s">
        <v>648</v>
      </c>
      <c r="D365" t="s">
        <v>25</v>
      </c>
      <c r="E365" t="s">
        <v>20</v>
      </c>
      <c r="F365" t="s">
        <v>15</v>
      </c>
      <c r="G365" t="s">
        <v>16</v>
      </c>
      <c r="H365">
        <v>33</v>
      </c>
      <c r="I365">
        <v>104.28</v>
      </c>
      <c r="J365">
        <v>0</v>
      </c>
      <c r="K365">
        <v>3441.24</v>
      </c>
      <c r="L365" t="str">
        <f t="shared" si="5"/>
        <v xml:space="preserve">No_Discount </v>
      </c>
    </row>
    <row r="366" spans="1:12" x14ac:dyDescent="0.25">
      <c r="A366" t="s">
        <v>649</v>
      </c>
      <c r="B366" s="1">
        <v>45130</v>
      </c>
      <c r="C366" t="s">
        <v>650</v>
      </c>
      <c r="D366" t="s">
        <v>50</v>
      </c>
      <c r="E366" t="s">
        <v>20</v>
      </c>
      <c r="F366" t="s">
        <v>42</v>
      </c>
      <c r="G366" t="s">
        <v>43</v>
      </c>
      <c r="H366">
        <v>5</v>
      </c>
      <c r="I366">
        <v>331.46</v>
      </c>
      <c r="J366">
        <v>0</v>
      </c>
      <c r="K366">
        <v>1657.3</v>
      </c>
      <c r="L366" t="str">
        <f t="shared" si="5"/>
        <v xml:space="preserve">No_Discount </v>
      </c>
    </row>
    <row r="367" spans="1:12" x14ac:dyDescent="0.25">
      <c r="A367" t="s">
        <v>651</v>
      </c>
      <c r="B367" s="1">
        <v>45161</v>
      </c>
      <c r="C367" t="s">
        <v>432</v>
      </c>
      <c r="D367" t="s">
        <v>50</v>
      </c>
      <c r="E367" t="s">
        <v>60</v>
      </c>
      <c r="F367" t="s">
        <v>79</v>
      </c>
      <c r="G367" t="s">
        <v>22</v>
      </c>
      <c r="H367">
        <v>47</v>
      </c>
      <c r="I367">
        <v>39.44</v>
      </c>
      <c r="J367">
        <v>0</v>
      </c>
      <c r="K367">
        <v>1853.68</v>
      </c>
      <c r="L367" t="str">
        <f t="shared" si="5"/>
        <v xml:space="preserve">No_Discount </v>
      </c>
    </row>
    <row r="368" spans="1:12" x14ac:dyDescent="0.25">
      <c r="A368" t="s">
        <v>652</v>
      </c>
      <c r="B368" s="1">
        <v>45175</v>
      </c>
      <c r="C368" t="s">
        <v>141</v>
      </c>
      <c r="D368" t="s">
        <v>13</v>
      </c>
      <c r="E368" t="s">
        <v>36</v>
      </c>
      <c r="F368" t="s">
        <v>27</v>
      </c>
      <c r="G368" t="s">
        <v>28</v>
      </c>
      <c r="H368">
        <v>41</v>
      </c>
      <c r="I368">
        <v>120.42</v>
      </c>
      <c r="J368">
        <v>0.15</v>
      </c>
      <c r="K368">
        <v>4196.6400000000003</v>
      </c>
      <c r="L368" t="str">
        <f t="shared" si="5"/>
        <v xml:space="preserve">Medium </v>
      </c>
    </row>
    <row r="369" spans="1:12" x14ac:dyDescent="0.25">
      <c r="A369" t="s">
        <v>653</v>
      </c>
      <c r="B369" s="1">
        <v>45175</v>
      </c>
      <c r="C369" t="s">
        <v>411</v>
      </c>
      <c r="D369" t="s">
        <v>53</v>
      </c>
      <c r="E369" t="s">
        <v>26</v>
      </c>
      <c r="F369" t="s">
        <v>21</v>
      </c>
      <c r="G369" t="s">
        <v>22</v>
      </c>
      <c r="H369">
        <v>24</v>
      </c>
      <c r="I369">
        <v>89.39</v>
      </c>
      <c r="J369">
        <v>0</v>
      </c>
      <c r="K369">
        <v>2145.36</v>
      </c>
      <c r="L369" t="str">
        <f t="shared" si="5"/>
        <v xml:space="preserve">No_Discount </v>
      </c>
    </row>
    <row r="370" spans="1:12" x14ac:dyDescent="0.25">
      <c r="A370" t="s">
        <v>654</v>
      </c>
      <c r="B370" s="1">
        <v>45215</v>
      </c>
      <c r="C370" t="s">
        <v>655</v>
      </c>
      <c r="D370" t="s">
        <v>53</v>
      </c>
      <c r="E370" t="s">
        <v>36</v>
      </c>
      <c r="F370" t="s">
        <v>32</v>
      </c>
      <c r="G370" t="s">
        <v>22</v>
      </c>
      <c r="H370">
        <v>3</v>
      </c>
      <c r="I370">
        <v>46.19</v>
      </c>
      <c r="J370">
        <v>0.1</v>
      </c>
      <c r="K370">
        <v>124.71</v>
      </c>
      <c r="L370" t="str">
        <f t="shared" si="5"/>
        <v xml:space="preserve">Low </v>
      </c>
    </row>
    <row r="371" spans="1:12" x14ac:dyDescent="0.25">
      <c r="A371" t="s">
        <v>656</v>
      </c>
      <c r="B371" s="1">
        <v>44974</v>
      </c>
      <c r="C371" t="s">
        <v>657</v>
      </c>
      <c r="D371" t="s">
        <v>25</v>
      </c>
      <c r="E371" t="s">
        <v>26</v>
      </c>
      <c r="F371" t="s">
        <v>54</v>
      </c>
      <c r="G371" t="s">
        <v>55</v>
      </c>
      <c r="H371">
        <v>45</v>
      </c>
      <c r="I371">
        <v>407.61</v>
      </c>
      <c r="J371">
        <v>0.1</v>
      </c>
      <c r="K371">
        <v>16508.21</v>
      </c>
      <c r="L371" t="str">
        <f t="shared" si="5"/>
        <v xml:space="preserve">Low </v>
      </c>
    </row>
    <row r="372" spans="1:12" x14ac:dyDescent="0.25">
      <c r="A372" t="s">
        <v>658</v>
      </c>
      <c r="B372" s="1">
        <v>45064</v>
      </c>
      <c r="C372" t="s">
        <v>659</v>
      </c>
      <c r="D372" t="s">
        <v>31</v>
      </c>
      <c r="E372" t="s">
        <v>60</v>
      </c>
      <c r="F372" t="s">
        <v>79</v>
      </c>
      <c r="G372" t="s">
        <v>22</v>
      </c>
      <c r="H372">
        <v>24</v>
      </c>
      <c r="I372">
        <v>36.630000000000003</v>
      </c>
      <c r="J372">
        <v>0</v>
      </c>
      <c r="K372">
        <v>879.12</v>
      </c>
      <c r="L372" t="str">
        <f t="shared" si="5"/>
        <v xml:space="preserve">No_Discount </v>
      </c>
    </row>
    <row r="373" spans="1:12" x14ac:dyDescent="0.25">
      <c r="A373" t="s">
        <v>660</v>
      </c>
      <c r="B373" s="1">
        <v>45055</v>
      </c>
      <c r="C373" t="s">
        <v>661</v>
      </c>
      <c r="D373" t="s">
        <v>76</v>
      </c>
      <c r="E373" t="s">
        <v>26</v>
      </c>
      <c r="F373" t="s">
        <v>79</v>
      </c>
      <c r="G373" t="s">
        <v>22</v>
      </c>
      <c r="H373">
        <v>41</v>
      </c>
      <c r="I373">
        <v>36.32</v>
      </c>
      <c r="J373">
        <v>0.2</v>
      </c>
      <c r="K373">
        <v>1191.3</v>
      </c>
      <c r="L373" t="str">
        <f t="shared" si="5"/>
        <v xml:space="preserve">Medium </v>
      </c>
    </row>
    <row r="374" spans="1:12" x14ac:dyDescent="0.25">
      <c r="A374" t="s">
        <v>662</v>
      </c>
      <c r="B374" s="1">
        <v>45066</v>
      </c>
      <c r="C374" t="s">
        <v>508</v>
      </c>
      <c r="D374" t="s">
        <v>35</v>
      </c>
      <c r="E374" t="s">
        <v>26</v>
      </c>
      <c r="F374" t="s">
        <v>42</v>
      </c>
      <c r="G374" t="s">
        <v>43</v>
      </c>
      <c r="H374">
        <v>6</v>
      </c>
      <c r="I374">
        <v>334.68</v>
      </c>
      <c r="J374">
        <v>0.15</v>
      </c>
      <c r="K374">
        <v>1706.87</v>
      </c>
      <c r="L374" t="str">
        <f t="shared" si="5"/>
        <v xml:space="preserve">Medium </v>
      </c>
    </row>
    <row r="375" spans="1:12" x14ac:dyDescent="0.25">
      <c r="A375" t="s">
        <v>663</v>
      </c>
      <c r="B375" s="1">
        <v>45244</v>
      </c>
      <c r="C375" t="s">
        <v>664</v>
      </c>
      <c r="D375" t="s">
        <v>39</v>
      </c>
      <c r="E375" t="s">
        <v>60</v>
      </c>
      <c r="F375" t="s">
        <v>54</v>
      </c>
      <c r="G375" t="s">
        <v>55</v>
      </c>
      <c r="H375">
        <v>49</v>
      </c>
      <c r="I375">
        <v>424.69</v>
      </c>
      <c r="J375">
        <v>0</v>
      </c>
      <c r="K375">
        <v>20809.810000000001</v>
      </c>
      <c r="L375" t="str">
        <f t="shared" si="5"/>
        <v xml:space="preserve">No_Discount </v>
      </c>
    </row>
    <row r="376" spans="1:12" x14ac:dyDescent="0.25">
      <c r="A376" t="s">
        <v>665</v>
      </c>
      <c r="B376" s="1">
        <v>45282</v>
      </c>
      <c r="C376" t="s">
        <v>666</v>
      </c>
      <c r="D376" t="s">
        <v>53</v>
      </c>
      <c r="E376" t="s">
        <v>26</v>
      </c>
      <c r="F376" t="s">
        <v>42</v>
      </c>
      <c r="G376" t="s">
        <v>43</v>
      </c>
      <c r="H376">
        <v>45</v>
      </c>
      <c r="I376">
        <v>333.44</v>
      </c>
      <c r="J376">
        <v>0</v>
      </c>
      <c r="K376">
        <v>15004.8</v>
      </c>
      <c r="L376" t="str">
        <f t="shared" si="5"/>
        <v xml:space="preserve">No_Discount </v>
      </c>
    </row>
    <row r="377" spans="1:12" x14ac:dyDescent="0.25">
      <c r="A377" t="s">
        <v>667</v>
      </c>
      <c r="B377" s="1">
        <v>44979</v>
      </c>
      <c r="C377" t="s">
        <v>129</v>
      </c>
      <c r="D377" t="s">
        <v>25</v>
      </c>
      <c r="E377" t="s">
        <v>20</v>
      </c>
      <c r="F377" t="s">
        <v>21</v>
      </c>
      <c r="G377" t="s">
        <v>22</v>
      </c>
      <c r="H377">
        <v>16</v>
      </c>
      <c r="I377">
        <v>75.849999999999994</v>
      </c>
      <c r="J377">
        <v>0</v>
      </c>
      <c r="K377">
        <v>1213.5999999999999</v>
      </c>
      <c r="L377" t="str">
        <f t="shared" si="5"/>
        <v xml:space="preserve">No_Discount </v>
      </c>
    </row>
    <row r="378" spans="1:12" x14ac:dyDescent="0.25">
      <c r="A378" t="s">
        <v>668</v>
      </c>
      <c r="B378" s="1">
        <v>45188</v>
      </c>
      <c r="C378" t="s">
        <v>315</v>
      </c>
      <c r="D378" t="s">
        <v>25</v>
      </c>
      <c r="E378" t="s">
        <v>14</v>
      </c>
      <c r="F378" t="s">
        <v>42</v>
      </c>
      <c r="G378" t="s">
        <v>43</v>
      </c>
      <c r="H378">
        <v>40</v>
      </c>
      <c r="I378">
        <v>363.62</v>
      </c>
      <c r="J378">
        <v>0.2</v>
      </c>
      <c r="K378">
        <v>11635.84</v>
      </c>
      <c r="L378" t="str">
        <f t="shared" si="5"/>
        <v xml:space="preserve">Medium </v>
      </c>
    </row>
    <row r="379" spans="1:12" x14ac:dyDescent="0.25">
      <c r="A379" t="s">
        <v>669</v>
      </c>
      <c r="B379" s="1">
        <v>45211</v>
      </c>
      <c r="C379" t="s">
        <v>670</v>
      </c>
      <c r="D379" t="s">
        <v>39</v>
      </c>
      <c r="E379" t="s">
        <v>14</v>
      </c>
      <c r="F379" t="s">
        <v>15</v>
      </c>
      <c r="G379" t="s">
        <v>16</v>
      </c>
      <c r="H379">
        <v>46</v>
      </c>
      <c r="I379">
        <v>94.54</v>
      </c>
      <c r="J379">
        <v>0</v>
      </c>
      <c r="K379">
        <v>4348.84</v>
      </c>
      <c r="L379" t="str">
        <f t="shared" si="5"/>
        <v xml:space="preserve">No_Discount </v>
      </c>
    </row>
    <row r="380" spans="1:12" x14ac:dyDescent="0.25">
      <c r="A380" t="s">
        <v>671</v>
      </c>
      <c r="B380" s="1">
        <v>45121</v>
      </c>
      <c r="C380" t="s">
        <v>672</v>
      </c>
      <c r="D380" t="s">
        <v>53</v>
      </c>
      <c r="E380" t="s">
        <v>14</v>
      </c>
      <c r="F380" t="s">
        <v>79</v>
      </c>
      <c r="G380" t="s">
        <v>22</v>
      </c>
      <c r="H380">
        <v>22</v>
      </c>
      <c r="I380">
        <v>39.22</v>
      </c>
      <c r="J380">
        <v>0.1</v>
      </c>
      <c r="K380">
        <v>776.56</v>
      </c>
      <c r="L380" t="str">
        <f t="shared" si="5"/>
        <v xml:space="preserve">Low </v>
      </c>
    </row>
    <row r="381" spans="1:12" x14ac:dyDescent="0.25">
      <c r="A381" t="s">
        <v>673</v>
      </c>
      <c r="B381" s="1">
        <v>45069</v>
      </c>
      <c r="C381" t="s">
        <v>143</v>
      </c>
      <c r="D381" t="s">
        <v>76</v>
      </c>
      <c r="E381" t="s">
        <v>36</v>
      </c>
      <c r="F381" t="s">
        <v>15</v>
      </c>
      <c r="G381" t="s">
        <v>16</v>
      </c>
      <c r="H381">
        <v>46</v>
      </c>
      <c r="I381">
        <v>101.18</v>
      </c>
      <c r="J381">
        <v>0.1</v>
      </c>
      <c r="K381">
        <v>4188.8500000000004</v>
      </c>
      <c r="L381" t="str">
        <f t="shared" si="5"/>
        <v xml:space="preserve">Low </v>
      </c>
    </row>
    <row r="382" spans="1:12" x14ac:dyDescent="0.25">
      <c r="A382" t="s">
        <v>674</v>
      </c>
      <c r="B382" s="1">
        <v>45121</v>
      </c>
      <c r="C382" t="s">
        <v>413</v>
      </c>
      <c r="D382" t="s">
        <v>39</v>
      </c>
      <c r="E382" t="s">
        <v>14</v>
      </c>
      <c r="F382" t="s">
        <v>79</v>
      </c>
      <c r="G382" t="s">
        <v>22</v>
      </c>
      <c r="H382">
        <v>43</v>
      </c>
      <c r="I382">
        <v>37.590000000000003</v>
      </c>
      <c r="J382">
        <v>0</v>
      </c>
      <c r="K382">
        <v>1616.37</v>
      </c>
      <c r="L382" t="str">
        <f t="shared" si="5"/>
        <v xml:space="preserve">No_Discount </v>
      </c>
    </row>
    <row r="383" spans="1:12" x14ac:dyDescent="0.25">
      <c r="A383" t="s">
        <v>675</v>
      </c>
      <c r="B383" s="1">
        <v>45254</v>
      </c>
      <c r="C383" t="s">
        <v>676</v>
      </c>
      <c r="D383" t="s">
        <v>67</v>
      </c>
      <c r="E383" t="s">
        <v>26</v>
      </c>
      <c r="F383" t="s">
        <v>27</v>
      </c>
      <c r="G383" t="s">
        <v>28</v>
      </c>
      <c r="H383">
        <v>24</v>
      </c>
      <c r="I383">
        <v>112.48</v>
      </c>
      <c r="J383">
        <v>0.05</v>
      </c>
      <c r="K383">
        <v>2564.54</v>
      </c>
      <c r="L383" t="str">
        <f t="shared" si="5"/>
        <v xml:space="preserve">Low </v>
      </c>
    </row>
    <row r="384" spans="1:12" x14ac:dyDescent="0.25">
      <c r="A384" t="s">
        <v>677</v>
      </c>
      <c r="B384" s="1">
        <v>44994</v>
      </c>
      <c r="C384" t="s">
        <v>531</v>
      </c>
      <c r="D384" t="s">
        <v>25</v>
      </c>
      <c r="E384" t="s">
        <v>36</v>
      </c>
      <c r="F384" t="s">
        <v>21</v>
      </c>
      <c r="G384" t="s">
        <v>22</v>
      </c>
      <c r="H384">
        <v>20</v>
      </c>
      <c r="I384">
        <v>76.930000000000007</v>
      </c>
      <c r="J384">
        <v>0.05</v>
      </c>
      <c r="K384">
        <v>1461.67</v>
      </c>
      <c r="L384" t="str">
        <f t="shared" si="5"/>
        <v xml:space="preserve">Low </v>
      </c>
    </row>
    <row r="385" spans="1:12" x14ac:dyDescent="0.25">
      <c r="A385" t="s">
        <v>678</v>
      </c>
      <c r="B385" s="1">
        <v>45258</v>
      </c>
      <c r="C385" t="s">
        <v>679</v>
      </c>
      <c r="D385" t="s">
        <v>50</v>
      </c>
      <c r="E385" t="s">
        <v>14</v>
      </c>
      <c r="F385" t="s">
        <v>27</v>
      </c>
      <c r="G385" t="s">
        <v>28</v>
      </c>
      <c r="H385">
        <v>40</v>
      </c>
      <c r="I385">
        <v>117.84</v>
      </c>
      <c r="J385">
        <v>0.2</v>
      </c>
      <c r="K385">
        <v>3770.88</v>
      </c>
      <c r="L385" t="str">
        <f t="shared" si="5"/>
        <v xml:space="preserve">Medium </v>
      </c>
    </row>
    <row r="386" spans="1:12" x14ac:dyDescent="0.25">
      <c r="A386" t="s">
        <v>680</v>
      </c>
      <c r="B386" s="1">
        <v>44949</v>
      </c>
      <c r="C386" t="s">
        <v>681</v>
      </c>
      <c r="D386" t="s">
        <v>25</v>
      </c>
      <c r="E386" t="s">
        <v>26</v>
      </c>
      <c r="F386" t="s">
        <v>79</v>
      </c>
      <c r="G386" t="s">
        <v>22</v>
      </c>
      <c r="H386">
        <v>48</v>
      </c>
      <c r="I386">
        <v>34.11</v>
      </c>
      <c r="J386">
        <v>0.2</v>
      </c>
      <c r="K386">
        <v>1309.82</v>
      </c>
      <c r="L386" t="str">
        <f t="shared" ref="L386:L449" si="6">IF(J386=0, "No_Discount ", IF(J386&lt;=0.1, "Low ", IF(J386&lt;=0.2, "Medium ", "High ")))</f>
        <v xml:space="preserve">Medium </v>
      </c>
    </row>
    <row r="387" spans="1:12" x14ac:dyDescent="0.25">
      <c r="A387" t="s">
        <v>682</v>
      </c>
      <c r="B387" s="1">
        <v>45084</v>
      </c>
      <c r="C387" t="s">
        <v>683</v>
      </c>
      <c r="D387" t="s">
        <v>25</v>
      </c>
      <c r="E387" t="s">
        <v>20</v>
      </c>
      <c r="F387" t="s">
        <v>54</v>
      </c>
      <c r="G387" t="s">
        <v>55</v>
      </c>
      <c r="H387">
        <v>28</v>
      </c>
      <c r="I387">
        <v>486.1</v>
      </c>
      <c r="J387">
        <v>0</v>
      </c>
      <c r="K387">
        <v>13610.8</v>
      </c>
      <c r="L387" t="str">
        <f t="shared" si="6"/>
        <v xml:space="preserve">No_Discount </v>
      </c>
    </row>
    <row r="388" spans="1:12" x14ac:dyDescent="0.25">
      <c r="A388" t="s">
        <v>684</v>
      </c>
      <c r="B388" s="1">
        <v>45014</v>
      </c>
      <c r="C388" t="s">
        <v>49</v>
      </c>
      <c r="D388" t="s">
        <v>50</v>
      </c>
      <c r="E388" t="s">
        <v>60</v>
      </c>
      <c r="F388" t="s">
        <v>54</v>
      </c>
      <c r="G388" t="s">
        <v>55</v>
      </c>
      <c r="H388">
        <v>47</v>
      </c>
      <c r="I388">
        <v>457.94</v>
      </c>
      <c r="J388">
        <v>0.2</v>
      </c>
      <c r="K388">
        <v>17218.54</v>
      </c>
      <c r="L388" t="str">
        <f t="shared" si="6"/>
        <v xml:space="preserve">Medium </v>
      </c>
    </row>
    <row r="389" spans="1:12" x14ac:dyDescent="0.25">
      <c r="A389" t="s">
        <v>685</v>
      </c>
      <c r="B389" s="1">
        <v>45090</v>
      </c>
      <c r="C389" t="s">
        <v>686</v>
      </c>
      <c r="D389" t="s">
        <v>31</v>
      </c>
      <c r="E389" t="s">
        <v>20</v>
      </c>
      <c r="F389" t="s">
        <v>27</v>
      </c>
      <c r="G389" t="s">
        <v>28</v>
      </c>
      <c r="H389">
        <v>46</v>
      </c>
      <c r="I389">
        <v>122.82</v>
      </c>
      <c r="J389">
        <v>0</v>
      </c>
      <c r="K389">
        <v>5649.72</v>
      </c>
      <c r="L389" t="str">
        <f t="shared" si="6"/>
        <v xml:space="preserve">No_Discount </v>
      </c>
    </row>
    <row r="390" spans="1:12" x14ac:dyDescent="0.25">
      <c r="A390" t="s">
        <v>687</v>
      </c>
      <c r="B390" s="1">
        <v>45257</v>
      </c>
      <c r="C390" t="s">
        <v>688</v>
      </c>
      <c r="D390" t="s">
        <v>25</v>
      </c>
      <c r="E390" t="s">
        <v>20</v>
      </c>
      <c r="F390" t="s">
        <v>54</v>
      </c>
      <c r="G390" t="s">
        <v>55</v>
      </c>
      <c r="H390">
        <v>19</v>
      </c>
      <c r="I390">
        <v>504.28</v>
      </c>
      <c r="J390">
        <v>0.1</v>
      </c>
      <c r="K390">
        <v>8623.19</v>
      </c>
      <c r="L390" t="str">
        <f t="shared" si="6"/>
        <v xml:space="preserve">Low </v>
      </c>
    </row>
    <row r="391" spans="1:12" x14ac:dyDescent="0.25">
      <c r="A391" t="s">
        <v>689</v>
      </c>
      <c r="B391" s="1">
        <v>45065</v>
      </c>
      <c r="C391" t="s">
        <v>690</v>
      </c>
      <c r="D391" t="s">
        <v>35</v>
      </c>
      <c r="E391" t="s">
        <v>36</v>
      </c>
      <c r="F391" t="s">
        <v>21</v>
      </c>
      <c r="G391" t="s">
        <v>22</v>
      </c>
      <c r="H391">
        <v>44</v>
      </c>
      <c r="I391">
        <v>77.59</v>
      </c>
      <c r="J391">
        <v>0.15</v>
      </c>
      <c r="K391">
        <v>2901.87</v>
      </c>
      <c r="L391" t="str">
        <f t="shared" si="6"/>
        <v xml:space="preserve">Medium </v>
      </c>
    </row>
    <row r="392" spans="1:12" x14ac:dyDescent="0.25">
      <c r="A392" t="s">
        <v>691</v>
      </c>
      <c r="B392" s="1">
        <v>45064</v>
      </c>
      <c r="C392" t="s">
        <v>692</v>
      </c>
      <c r="D392" t="s">
        <v>25</v>
      </c>
      <c r="E392" t="s">
        <v>20</v>
      </c>
      <c r="F392" t="s">
        <v>32</v>
      </c>
      <c r="G392" t="s">
        <v>22</v>
      </c>
      <c r="H392">
        <v>41</v>
      </c>
      <c r="I392">
        <v>49.98</v>
      </c>
      <c r="J392">
        <v>0.2</v>
      </c>
      <c r="K392">
        <v>1639.34</v>
      </c>
      <c r="L392" t="str">
        <f t="shared" si="6"/>
        <v xml:space="preserve">Medium </v>
      </c>
    </row>
    <row r="393" spans="1:12" x14ac:dyDescent="0.25">
      <c r="A393" t="s">
        <v>693</v>
      </c>
      <c r="B393" s="1">
        <v>45221</v>
      </c>
      <c r="C393" t="s">
        <v>546</v>
      </c>
      <c r="D393" t="s">
        <v>31</v>
      </c>
      <c r="E393" t="s">
        <v>36</v>
      </c>
      <c r="F393" t="s">
        <v>54</v>
      </c>
      <c r="G393" t="s">
        <v>55</v>
      </c>
      <c r="H393">
        <v>2</v>
      </c>
      <c r="I393">
        <v>486.37</v>
      </c>
      <c r="J393">
        <v>0.15</v>
      </c>
      <c r="K393">
        <v>826.83</v>
      </c>
      <c r="L393" t="str">
        <f t="shared" si="6"/>
        <v xml:space="preserve">Medium </v>
      </c>
    </row>
    <row r="394" spans="1:12" x14ac:dyDescent="0.25">
      <c r="A394" t="s">
        <v>694</v>
      </c>
      <c r="B394" s="1">
        <v>45012</v>
      </c>
      <c r="C394" t="s">
        <v>521</v>
      </c>
      <c r="D394" t="s">
        <v>50</v>
      </c>
      <c r="E394" t="s">
        <v>20</v>
      </c>
      <c r="F394" t="s">
        <v>54</v>
      </c>
      <c r="G394" t="s">
        <v>55</v>
      </c>
      <c r="H394">
        <v>39</v>
      </c>
      <c r="I394">
        <v>433.95</v>
      </c>
      <c r="J394">
        <v>0</v>
      </c>
      <c r="K394">
        <v>16924.05</v>
      </c>
      <c r="L394" t="str">
        <f t="shared" si="6"/>
        <v xml:space="preserve">No_Discount </v>
      </c>
    </row>
    <row r="395" spans="1:12" x14ac:dyDescent="0.25">
      <c r="A395" t="s">
        <v>695</v>
      </c>
      <c r="B395" s="1">
        <v>45164</v>
      </c>
      <c r="C395" t="s">
        <v>696</v>
      </c>
      <c r="D395" t="s">
        <v>35</v>
      </c>
      <c r="E395" t="s">
        <v>26</v>
      </c>
      <c r="F395" t="s">
        <v>21</v>
      </c>
      <c r="G395" t="s">
        <v>22</v>
      </c>
      <c r="H395">
        <v>3</v>
      </c>
      <c r="I395">
        <v>72.91</v>
      </c>
      <c r="J395">
        <v>0.2</v>
      </c>
      <c r="K395">
        <v>174.98</v>
      </c>
      <c r="L395" t="str">
        <f t="shared" si="6"/>
        <v xml:space="preserve">Medium </v>
      </c>
    </row>
    <row r="396" spans="1:12" x14ac:dyDescent="0.25">
      <c r="A396" t="s">
        <v>697</v>
      </c>
      <c r="B396" s="1">
        <v>44955</v>
      </c>
      <c r="C396" t="s">
        <v>698</v>
      </c>
      <c r="D396" t="s">
        <v>25</v>
      </c>
      <c r="E396" t="s">
        <v>36</v>
      </c>
      <c r="F396" t="s">
        <v>82</v>
      </c>
      <c r="G396" t="s">
        <v>43</v>
      </c>
      <c r="H396">
        <v>3</v>
      </c>
      <c r="I396">
        <v>1095.1600000000001</v>
      </c>
      <c r="J396">
        <v>0.05</v>
      </c>
      <c r="K396">
        <v>3121.21</v>
      </c>
      <c r="L396" t="str">
        <f t="shared" si="6"/>
        <v xml:space="preserve">Low </v>
      </c>
    </row>
    <row r="397" spans="1:12" x14ac:dyDescent="0.25">
      <c r="A397" t="s">
        <v>699</v>
      </c>
      <c r="B397" s="1">
        <v>44934</v>
      </c>
      <c r="C397" t="s">
        <v>184</v>
      </c>
      <c r="D397" t="s">
        <v>35</v>
      </c>
      <c r="E397" t="s">
        <v>26</v>
      </c>
      <c r="F397" t="s">
        <v>15</v>
      </c>
      <c r="G397" t="s">
        <v>16</v>
      </c>
      <c r="H397">
        <v>39</v>
      </c>
      <c r="I397">
        <v>108.74</v>
      </c>
      <c r="J397">
        <v>0.2</v>
      </c>
      <c r="K397">
        <v>3392.69</v>
      </c>
      <c r="L397" t="str">
        <f t="shared" si="6"/>
        <v xml:space="preserve">Medium </v>
      </c>
    </row>
    <row r="398" spans="1:12" x14ac:dyDescent="0.25">
      <c r="A398" t="s">
        <v>700</v>
      </c>
      <c r="B398" s="1">
        <v>45004</v>
      </c>
      <c r="C398" t="s">
        <v>701</v>
      </c>
      <c r="D398" t="s">
        <v>13</v>
      </c>
      <c r="E398" t="s">
        <v>26</v>
      </c>
      <c r="F398" t="s">
        <v>15</v>
      </c>
      <c r="G398" t="s">
        <v>16</v>
      </c>
      <c r="H398">
        <v>42</v>
      </c>
      <c r="I398">
        <v>87.14</v>
      </c>
      <c r="J398">
        <v>0.1</v>
      </c>
      <c r="K398">
        <v>3293.89</v>
      </c>
      <c r="L398" t="str">
        <f t="shared" si="6"/>
        <v xml:space="preserve">Low </v>
      </c>
    </row>
    <row r="399" spans="1:12" x14ac:dyDescent="0.25">
      <c r="A399" t="s">
        <v>702</v>
      </c>
      <c r="B399" s="1">
        <v>45267</v>
      </c>
      <c r="C399" t="s">
        <v>542</v>
      </c>
      <c r="D399" t="s">
        <v>76</v>
      </c>
      <c r="E399" t="s">
        <v>60</v>
      </c>
      <c r="F399" t="s">
        <v>54</v>
      </c>
      <c r="G399" t="s">
        <v>55</v>
      </c>
      <c r="H399">
        <v>28</v>
      </c>
      <c r="I399">
        <v>455.26</v>
      </c>
      <c r="J399">
        <v>0</v>
      </c>
      <c r="K399">
        <v>12747.28</v>
      </c>
      <c r="L399" t="str">
        <f t="shared" si="6"/>
        <v xml:space="preserve">No_Discount </v>
      </c>
    </row>
    <row r="400" spans="1:12" x14ac:dyDescent="0.25">
      <c r="A400" t="s">
        <v>80</v>
      </c>
      <c r="B400" s="1">
        <v>45005</v>
      </c>
      <c r="C400" t="s">
        <v>81</v>
      </c>
      <c r="D400" t="s">
        <v>76</v>
      </c>
      <c r="E400" t="s">
        <v>14</v>
      </c>
      <c r="F400" t="s">
        <v>82</v>
      </c>
      <c r="G400" t="s">
        <v>43</v>
      </c>
      <c r="H400">
        <v>17</v>
      </c>
      <c r="I400">
        <v>1237.6400000000001</v>
      </c>
      <c r="J400">
        <v>0</v>
      </c>
      <c r="K400">
        <v>21039.88</v>
      </c>
      <c r="L400" t="str">
        <f t="shared" si="6"/>
        <v xml:space="preserve">No_Discount </v>
      </c>
    </row>
    <row r="401" spans="1:12" x14ac:dyDescent="0.25">
      <c r="A401" t="s">
        <v>703</v>
      </c>
      <c r="B401" s="1">
        <v>45270</v>
      </c>
      <c r="C401" t="s">
        <v>704</v>
      </c>
      <c r="D401" t="s">
        <v>25</v>
      </c>
      <c r="E401" t="s">
        <v>14</v>
      </c>
      <c r="F401" t="s">
        <v>32</v>
      </c>
      <c r="G401" t="s">
        <v>22</v>
      </c>
      <c r="H401">
        <v>40</v>
      </c>
      <c r="I401">
        <v>42.83</v>
      </c>
      <c r="J401">
        <v>0</v>
      </c>
      <c r="K401">
        <v>1713.2</v>
      </c>
      <c r="L401" t="str">
        <f t="shared" si="6"/>
        <v xml:space="preserve">No_Discount </v>
      </c>
    </row>
    <row r="402" spans="1:12" x14ac:dyDescent="0.25">
      <c r="A402" t="s">
        <v>705</v>
      </c>
      <c r="B402" s="1">
        <v>45226</v>
      </c>
      <c r="C402" t="s">
        <v>706</v>
      </c>
      <c r="D402" t="s">
        <v>31</v>
      </c>
      <c r="E402" t="s">
        <v>20</v>
      </c>
      <c r="F402" t="s">
        <v>21</v>
      </c>
      <c r="G402" t="s">
        <v>22</v>
      </c>
      <c r="H402">
        <v>9</v>
      </c>
      <c r="I402">
        <v>72.38</v>
      </c>
      <c r="J402">
        <v>0.2</v>
      </c>
      <c r="K402">
        <v>521.14</v>
      </c>
      <c r="L402" t="str">
        <f t="shared" si="6"/>
        <v xml:space="preserve">Medium </v>
      </c>
    </row>
    <row r="403" spans="1:12" x14ac:dyDescent="0.25">
      <c r="A403" t="s">
        <v>707</v>
      </c>
      <c r="B403" s="1">
        <v>45032</v>
      </c>
      <c r="C403" t="s">
        <v>708</v>
      </c>
      <c r="D403" t="s">
        <v>99</v>
      </c>
      <c r="E403" t="s">
        <v>20</v>
      </c>
      <c r="F403" t="s">
        <v>21</v>
      </c>
      <c r="G403" t="s">
        <v>22</v>
      </c>
      <c r="H403">
        <v>5</v>
      </c>
      <c r="I403">
        <v>85.65</v>
      </c>
      <c r="J403">
        <v>0.15</v>
      </c>
      <c r="K403">
        <v>364.01</v>
      </c>
      <c r="L403" t="str">
        <f t="shared" si="6"/>
        <v xml:space="preserve">Medium </v>
      </c>
    </row>
    <row r="404" spans="1:12" x14ac:dyDescent="0.25">
      <c r="A404" t="s">
        <v>709</v>
      </c>
      <c r="B404" s="1">
        <v>45090</v>
      </c>
      <c r="C404" t="s">
        <v>710</v>
      </c>
      <c r="D404" t="s">
        <v>99</v>
      </c>
      <c r="E404" t="s">
        <v>14</v>
      </c>
      <c r="F404" t="s">
        <v>79</v>
      </c>
      <c r="G404" t="s">
        <v>22</v>
      </c>
      <c r="H404">
        <v>16</v>
      </c>
      <c r="I404">
        <v>33.450000000000003</v>
      </c>
      <c r="J404">
        <v>0</v>
      </c>
      <c r="K404">
        <v>535.20000000000005</v>
      </c>
      <c r="L404" t="str">
        <f t="shared" si="6"/>
        <v xml:space="preserve">No_Discount </v>
      </c>
    </row>
    <row r="405" spans="1:12" x14ac:dyDescent="0.25">
      <c r="A405" t="s">
        <v>711</v>
      </c>
      <c r="B405" s="1">
        <v>45239</v>
      </c>
      <c r="C405" t="s">
        <v>712</v>
      </c>
      <c r="D405" t="s">
        <v>67</v>
      </c>
      <c r="E405" t="s">
        <v>20</v>
      </c>
      <c r="F405" t="s">
        <v>15</v>
      </c>
      <c r="G405" t="s">
        <v>16</v>
      </c>
      <c r="H405">
        <v>40</v>
      </c>
      <c r="I405">
        <v>105.67</v>
      </c>
      <c r="J405">
        <v>0.15</v>
      </c>
      <c r="K405">
        <v>3592.78</v>
      </c>
      <c r="L405" t="str">
        <f t="shared" si="6"/>
        <v xml:space="preserve">Medium </v>
      </c>
    </row>
    <row r="406" spans="1:12" x14ac:dyDescent="0.25">
      <c r="A406" t="s">
        <v>713</v>
      </c>
      <c r="B406" s="1">
        <v>45244</v>
      </c>
      <c r="C406" t="s">
        <v>714</v>
      </c>
      <c r="D406" t="s">
        <v>35</v>
      </c>
      <c r="E406" t="s">
        <v>14</v>
      </c>
      <c r="F406" t="s">
        <v>32</v>
      </c>
      <c r="G406" t="s">
        <v>22</v>
      </c>
      <c r="H406">
        <v>41</v>
      </c>
      <c r="I406">
        <v>45.78</v>
      </c>
      <c r="J406">
        <v>0</v>
      </c>
      <c r="K406">
        <v>1876.98</v>
      </c>
      <c r="L406" t="str">
        <f t="shared" si="6"/>
        <v xml:space="preserve">No_Discount </v>
      </c>
    </row>
    <row r="407" spans="1:12" x14ac:dyDescent="0.25">
      <c r="A407" t="s">
        <v>715</v>
      </c>
      <c r="B407" s="1">
        <v>45148</v>
      </c>
      <c r="C407" t="s">
        <v>391</v>
      </c>
      <c r="D407" t="s">
        <v>13</v>
      </c>
      <c r="E407" t="s">
        <v>36</v>
      </c>
      <c r="F407" t="s">
        <v>54</v>
      </c>
      <c r="G407" t="s">
        <v>55</v>
      </c>
      <c r="H407">
        <v>42</v>
      </c>
      <c r="I407">
        <v>408.55</v>
      </c>
      <c r="J407">
        <v>0.2</v>
      </c>
      <c r="K407">
        <v>13727.28</v>
      </c>
      <c r="L407" t="str">
        <f t="shared" si="6"/>
        <v xml:space="preserve">Medium </v>
      </c>
    </row>
    <row r="408" spans="1:12" x14ac:dyDescent="0.25">
      <c r="A408" t="s">
        <v>716</v>
      </c>
      <c r="B408" s="1">
        <v>45123</v>
      </c>
      <c r="C408" t="s">
        <v>184</v>
      </c>
      <c r="D408" t="s">
        <v>76</v>
      </c>
      <c r="E408" t="s">
        <v>36</v>
      </c>
      <c r="F408" t="s">
        <v>27</v>
      </c>
      <c r="G408" t="s">
        <v>28</v>
      </c>
      <c r="H408">
        <v>35</v>
      </c>
      <c r="I408">
        <v>112.38</v>
      </c>
      <c r="J408">
        <v>0.05</v>
      </c>
      <c r="K408">
        <v>3736.64</v>
      </c>
      <c r="L408" t="str">
        <f t="shared" si="6"/>
        <v xml:space="preserve">Low </v>
      </c>
    </row>
    <row r="409" spans="1:12" x14ac:dyDescent="0.25">
      <c r="A409" t="s">
        <v>717</v>
      </c>
      <c r="B409" s="1">
        <v>45108</v>
      </c>
      <c r="C409" t="s">
        <v>718</v>
      </c>
      <c r="D409" t="s">
        <v>39</v>
      </c>
      <c r="E409" t="s">
        <v>60</v>
      </c>
      <c r="F409" t="s">
        <v>32</v>
      </c>
      <c r="G409" t="s">
        <v>22</v>
      </c>
      <c r="H409">
        <v>7</v>
      </c>
      <c r="I409">
        <v>43.51</v>
      </c>
      <c r="J409">
        <v>0</v>
      </c>
      <c r="K409">
        <v>304.57</v>
      </c>
      <c r="L409" t="str">
        <f t="shared" si="6"/>
        <v xml:space="preserve">No_Discount </v>
      </c>
    </row>
    <row r="410" spans="1:12" x14ac:dyDescent="0.25">
      <c r="A410" t="s">
        <v>719</v>
      </c>
      <c r="B410" s="1">
        <v>44970</v>
      </c>
      <c r="C410" t="s">
        <v>265</v>
      </c>
      <c r="D410" t="s">
        <v>25</v>
      </c>
      <c r="E410" t="s">
        <v>26</v>
      </c>
      <c r="F410" t="s">
        <v>54</v>
      </c>
      <c r="G410" t="s">
        <v>55</v>
      </c>
      <c r="H410">
        <v>20</v>
      </c>
      <c r="I410">
        <v>432.84</v>
      </c>
      <c r="J410">
        <v>0.05</v>
      </c>
      <c r="K410">
        <v>8223.9599999999991</v>
      </c>
      <c r="L410" t="str">
        <f t="shared" si="6"/>
        <v xml:space="preserve">Low </v>
      </c>
    </row>
    <row r="411" spans="1:12" x14ac:dyDescent="0.25">
      <c r="A411" t="s">
        <v>720</v>
      </c>
      <c r="B411" s="1">
        <v>45197</v>
      </c>
      <c r="C411" t="s">
        <v>721</v>
      </c>
      <c r="D411" t="s">
        <v>50</v>
      </c>
      <c r="E411" t="s">
        <v>26</v>
      </c>
      <c r="F411" t="s">
        <v>54</v>
      </c>
      <c r="G411" t="s">
        <v>55</v>
      </c>
      <c r="H411">
        <v>15</v>
      </c>
      <c r="I411">
        <v>450.07</v>
      </c>
      <c r="J411">
        <v>0</v>
      </c>
      <c r="K411">
        <v>6751.05</v>
      </c>
      <c r="L411" t="str">
        <f t="shared" si="6"/>
        <v xml:space="preserve">No_Discount </v>
      </c>
    </row>
    <row r="412" spans="1:12" x14ac:dyDescent="0.25">
      <c r="A412" t="s">
        <v>722</v>
      </c>
      <c r="B412" s="1">
        <v>45260</v>
      </c>
      <c r="C412" t="s">
        <v>41</v>
      </c>
      <c r="D412" t="s">
        <v>53</v>
      </c>
      <c r="E412" t="s">
        <v>20</v>
      </c>
      <c r="F412" t="s">
        <v>32</v>
      </c>
      <c r="G412" t="s">
        <v>22</v>
      </c>
      <c r="H412">
        <v>22</v>
      </c>
      <c r="I412">
        <v>46.07</v>
      </c>
      <c r="J412">
        <v>0</v>
      </c>
      <c r="K412">
        <v>1013.54</v>
      </c>
      <c r="L412" t="str">
        <f t="shared" si="6"/>
        <v xml:space="preserve">No_Discount </v>
      </c>
    </row>
    <row r="413" spans="1:12" x14ac:dyDescent="0.25">
      <c r="A413" t="s">
        <v>723</v>
      </c>
      <c r="B413" s="1">
        <v>45282</v>
      </c>
      <c r="C413" t="s">
        <v>618</v>
      </c>
      <c r="D413" t="s">
        <v>19</v>
      </c>
      <c r="E413" t="s">
        <v>60</v>
      </c>
      <c r="F413" t="s">
        <v>79</v>
      </c>
      <c r="G413" t="s">
        <v>22</v>
      </c>
      <c r="H413">
        <v>11</v>
      </c>
      <c r="I413">
        <v>39.51</v>
      </c>
      <c r="J413">
        <v>0</v>
      </c>
      <c r="K413">
        <v>434.61</v>
      </c>
      <c r="L413" t="str">
        <f t="shared" si="6"/>
        <v xml:space="preserve">No_Discount </v>
      </c>
    </row>
    <row r="414" spans="1:12" x14ac:dyDescent="0.25">
      <c r="A414" t="s">
        <v>724</v>
      </c>
      <c r="B414" s="1">
        <v>45064</v>
      </c>
      <c r="C414" t="s">
        <v>725</v>
      </c>
      <c r="D414" t="s">
        <v>50</v>
      </c>
      <c r="E414" t="s">
        <v>26</v>
      </c>
      <c r="F414" t="s">
        <v>15</v>
      </c>
      <c r="G414" t="s">
        <v>16</v>
      </c>
      <c r="H414">
        <v>29</v>
      </c>
      <c r="I414">
        <v>86.98</v>
      </c>
      <c r="J414">
        <v>0</v>
      </c>
      <c r="K414">
        <v>2522.42</v>
      </c>
      <c r="L414" t="str">
        <f t="shared" si="6"/>
        <v xml:space="preserve">No_Discount </v>
      </c>
    </row>
    <row r="415" spans="1:12" x14ac:dyDescent="0.25">
      <c r="A415" t="s">
        <v>726</v>
      </c>
      <c r="B415" s="1">
        <v>45283</v>
      </c>
      <c r="C415" t="s">
        <v>615</v>
      </c>
      <c r="D415" t="s">
        <v>50</v>
      </c>
      <c r="E415" t="s">
        <v>60</v>
      </c>
      <c r="F415" t="s">
        <v>21</v>
      </c>
      <c r="G415" t="s">
        <v>22</v>
      </c>
      <c r="H415">
        <v>50</v>
      </c>
      <c r="I415">
        <v>78.55</v>
      </c>
      <c r="J415">
        <v>0</v>
      </c>
      <c r="K415">
        <v>3927.5</v>
      </c>
      <c r="L415" t="str">
        <f t="shared" si="6"/>
        <v xml:space="preserve">No_Discount </v>
      </c>
    </row>
    <row r="416" spans="1:12" x14ac:dyDescent="0.25">
      <c r="A416" t="s">
        <v>727</v>
      </c>
      <c r="B416" s="1">
        <v>45271</v>
      </c>
      <c r="C416" t="s">
        <v>728</v>
      </c>
      <c r="D416" t="s">
        <v>39</v>
      </c>
      <c r="E416" t="s">
        <v>14</v>
      </c>
      <c r="F416" t="s">
        <v>15</v>
      </c>
      <c r="G416" t="s">
        <v>16</v>
      </c>
      <c r="H416">
        <v>27</v>
      </c>
      <c r="I416">
        <v>91.27</v>
      </c>
      <c r="J416">
        <v>0</v>
      </c>
      <c r="K416">
        <v>2464.29</v>
      </c>
      <c r="L416" t="str">
        <f t="shared" si="6"/>
        <v xml:space="preserve">No_Discount </v>
      </c>
    </row>
    <row r="417" spans="1:12" x14ac:dyDescent="0.25">
      <c r="A417" t="s">
        <v>729</v>
      </c>
      <c r="B417" s="1">
        <v>45279</v>
      </c>
      <c r="C417" t="s">
        <v>413</v>
      </c>
      <c r="D417" t="s">
        <v>25</v>
      </c>
      <c r="E417" t="s">
        <v>20</v>
      </c>
      <c r="F417" t="s">
        <v>21</v>
      </c>
      <c r="G417" t="s">
        <v>22</v>
      </c>
      <c r="H417">
        <v>18</v>
      </c>
      <c r="I417">
        <v>86.17</v>
      </c>
      <c r="J417">
        <v>0.15</v>
      </c>
      <c r="K417">
        <v>1318.4</v>
      </c>
      <c r="L417" t="str">
        <f t="shared" si="6"/>
        <v xml:space="preserve">Medium </v>
      </c>
    </row>
    <row r="418" spans="1:12" x14ac:dyDescent="0.25">
      <c r="A418" t="s">
        <v>730</v>
      </c>
      <c r="B418" s="1">
        <v>44929</v>
      </c>
      <c r="C418" t="s">
        <v>731</v>
      </c>
      <c r="D418" t="s">
        <v>50</v>
      </c>
      <c r="E418" t="s">
        <v>26</v>
      </c>
      <c r="F418" t="s">
        <v>32</v>
      </c>
      <c r="G418" t="s">
        <v>22</v>
      </c>
      <c r="H418">
        <v>34</v>
      </c>
      <c r="I418">
        <v>49.18</v>
      </c>
      <c r="J418">
        <v>0.05</v>
      </c>
      <c r="K418">
        <v>1588.51</v>
      </c>
      <c r="L418" t="str">
        <f t="shared" si="6"/>
        <v xml:space="preserve">Low </v>
      </c>
    </row>
    <row r="419" spans="1:12" x14ac:dyDescent="0.25">
      <c r="A419" t="s">
        <v>626</v>
      </c>
      <c r="B419" s="1">
        <v>45214</v>
      </c>
      <c r="C419" t="s">
        <v>627</v>
      </c>
      <c r="D419" t="s">
        <v>19</v>
      </c>
      <c r="E419" t="s">
        <v>36</v>
      </c>
      <c r="F419" t="s">
        <v>32</v>
      </c>
      <c r="G419" t="s">
        <v>22</v>
      </c>
      <c r="H419">
        <v>6</v>
      </c>
      <c r="I419">
        <v>43.43</v>
      </c>
      <c r="J419">
        <v>0</v>
      </c>
      <c r="K419">
        <v>260.58</v>
      </c>
      <c r="L419" t="str">
        <f t="shared" si="6"/>
        <v xml:space="preserve">No_Discount </v>
      </c>
    </row>
    <row r="420" spans="1:12" x14ac:dyDescent="0.25">
      <c r="A420" t="s">
        <v>732</v>
      </c>
      <c r="B420" s="1">
        <v>45206</v>
      </c>
      <c r="C420" t="s">
        <v>733</v>
      </c>
      <c r="D420" t="s">
        <v>76</v>
      </c>
      <c r="E420" t="s">
        <v>14</v>
      </c>
      <c r="F420" t="s">
        <v>15</v>
      </c>
      <c r="G420" t="s">
        <v>16</v>
      </c>
      <c r="H420">
        <v>16</v>
      </c>
      <c r="I420">
        <v>100.17</v>
      </c>
      <c r="J420">
        <v>0.2</v>
      </c>
      <c r="K420">
        <v>1282.18</v>
      </c>
      <c r="L420" t="str">
        <f t="shared" si="6"/>
        <v xml:space="preserve">Medium </v>
      </c>
    </row>
    <row r="421" spans="1:12" x14ac:dyDescent="0.25">
      <c r="A421" t="s">
        <v>734</v>
      </c>
      <c r="B421" s="1">
        <v>45151</v>
      </c>
      <c r="C421" t="s">
        <v>735</v>
      </c>
      <c r="D421" t="s">
        <v>31</v>
      </c>
      <c r="E421" t="s">
        <v>14</v>
      </c>
      <c r="F421" t="s">
        <v>54</v>
      </c>
      <c r="G421" t="s">
        <v>55</v>
      </c>
      <c r="H421">
        <v>21</v>
      </c>
      <c r="I421">
        <v>465.44</v>
      </c>
      <c r="J421">
        <v>0</v>
      </c>
      <c r="K421">
        <v>9774.24</v>
      </c>
      <c r="L421" t="str">
        <f t="shared" si="6"/>
        <v xml:space="preserve">No_Discount </v>
      </c>
    </row>
    <row r="422" spans="1:12" x14ac:dyDescent="0.25">
      <c r="A422" t="s">
        <v>736</v>
      </c>
      <c r="B422" s="1">
        <v>45029</v>
      </c>
      <c r="C422" t="s">
        <v>737</v>
      </c>
      <c r="D422" t="s">
        <v>39</v>
      </c>
      <c r="E422" t="s">
        <v>60</v>
      </c>
      <c r="F422" t="s">
        <v>79</v>
      </c>
      <c r="G422" t="s">
        <v>22</v>
      </c>
      <c r="H422">
        <v>31</v>
      </c>
      <c r="I422">
        <v>33.04</v>
      </c>
      <c r="J422">
        <v>0.43</v>
      </c>
      <c r="K422">
        <v>586.59</v>
      </c>
      <c r="L422" t="str">
        <f t="shared" si="6"/>
        <v xml:space="preserve">High </v>
      </c>
    </row>
    <row r="423" spans="1:12" x14ac:dyDescent="0.25">
      <c r="A423" t="s">
        <v>130</v>
      </c>
      <c r="B423" s="1">
        <v>45129</v>
      </c>
      <c r="C423" t="s">
        <v>131</v>
      </c>
      <c r="D423" t="s">
        <v>25</v>
      </c>
      <c r="E423" t="s">
        <v>20</v>
      </c>
      <c r="F423" t="s">
        <v>54</v>
      </c>
      <c r="G423" t="s">
        <v>55</v>
      </c>
      <c r="H423">
        <v>44</v>
      </c>
      <c r="I423">
        <v>502.17</v>
      </c>
      <c r="J423">
        <v>0.2</v>
      </c>
      <c r="K423">
        <v>17676.38</v>
      </c>
      <c r="L423" t="str">
        <f t="shared" si="6"/>
        <v xml:space="preserve">Medium </v>
      </c>
    </row>
    <row r="424" spans="1:12" x14ac:dyDescent="0.25">
      <c r="A424" t="s">
        <v>738</v>
      </c>
      <c r="B424" s="1">
        <v>45131</v>
      </c>
      <c r="C424" t="s">
        <v>164</v>
      </c>
      <c r="D424" t="s">
        <v>25</v>
      </c>
      <c r="E424" t="s">
        <v>26</v>
      </c>
      <c r="F424" t="s">
        <v>82</v>
      </c>
      <c r="G424" t="s">
        <v>43</v>
      </c>
      <c r="H424">
        <v>28</v>
      </c>
      <c r="I424">
        <v>1236.0999999999999</v>
      </c>
      <c r="J424">
        <v>0.2</v>
      </c>
      <c r="K424">
        <v>27688.639999999999</v>
      </c>
      <c r="L424" t="str">
        <f t="shared" si="6"/>
        <v xml:space="preserve">Medium </v>
      </c>
    </row>
    <row r="425" spans="1:12" x14ac:dyDescent="0.25">
      <c r="A425" t="s">
        <v>739</v>
      </c>
      <c r="B425" s="1">
        <v>45251</v>
      </c>
      <c r="C425" t="s">
        <v>592</v>
      </c>
      <c r="D425" t="s">
        <v>67</v>
      </c>
      <c r="E425" t="s">
        <v>36</v>
      </c>
      <c r="F425" t="s">
        <v>79</v>
      </c>
      <c r="G425" t="s">
        <v>22</v>
      </c>
      <c r="H425">
        <v>2</v>
      </c>
      <c r="I425">
        <v>37.29</v>
      </c>
      <c r="J425">
        <v>0</v>
      </c>
      <c r="K425">
        <v>74.58</v>
      </c>
      <c r="L425" t="str">
        <f t="shared" si="6"/>
        <v xml:space="preserve">No_Discount </v>
      </c>
    </row>
    <row r="426" spans="1:12" x14ac:dyDescent="0.25">
      <c r="A426" t="s">
        <v>740</v>
      </c>
      <c r="B426" s="1">
        <v>45209</v>
      </c>
      <c r="C426" t="s">
        <v>342</v>
      </c>
      <c r="D426" t="s">
        <v>19</v>
      </c>
      <c r="E426" t="s">
        <v>26</v>
      </c>
      <c r="F426" t="s">
        <v>15</v>
      </c>
      <c r="G426" t="s">
        <v>16</v>
      </c>
      <c r="H426">
        <v>47</v>
      </c>
      <c r="I426">
        <v>90.61</v>
      </c>
      <c r="J426">
        <v>0.1</v>
      </c>
      <c r="K426">
        <v>3832.8</v>
      </c>
      <c r="L426" t="str">
        <f t="shared" si="6"/>
        <v xml:space="preserve">Low </v>
      </c>
    </row>
    <row r="427" spans="1:12" x14ac:dyDescent="0.25">
      <c r="A427" t="s">
        <v>87</v>
      </c>
      <c r="B427" s="1">
        <v>45220</v>
      </c>
      <c r="C427" t="s">
        <v>741</v>
      </c>
      <c r="D427" t="s">
        <v>76</v>
      </c>
      <c r="E427" t="s">
        <v>26</v>
      </c>
      <c r="F427" t="s">
        <v>32</v>
      </c>
      <c r="G427" t="s">
        <v>22</v>
      </c>
      <c r="H427">
        <v>2</v>
      </c>
      <c r="I427">
        <v>49.1</v>
      </c>
      <c r="J427">
        <v>0.1</v>
      </c>
      <c r="K427">
        <v>88.38</v>
      </c>
      <c r="L427" t="str">
        <f t="shared" si="6"/>
        <v xml:space="preserve">Low </v>
      </c>
    </row>
    <row r="428" spans="1:12" x14ac:dyDescent="0.25">
      <c r="A428" t="s">
        <v>742</v>
      </c>
      <c r="B428" s="1">
        <v>44976</v>
      </c>
      <c r="C428" t="s">
        <v>743</v>
      </c>
      <c r="D428" t="s">
        <v>39</v>
      </c>
      <c r="E428" t="s">
        <v>14</v>
      </c>
      <c r="F428" t="s">
        <v>32</v>
      </c>
      <c r="G428" t="s">
        <v>22</v>
      </c>
      <c r="H428">
        <v>50</v>
      </c>
      <c r="I428">
        <v>48.76</v>
      </c>
      <c r="J428">
        <v>0</v>
      </c>
      <c r="K428">
        <v>2438</v>
      </c>
      <c r="L428" t="str">
        <f t="shared" si="6"/>
        <v xml:space="preserve">No_Discount </v>
      </c>
    </row>
    <row r="429" spans="1:12" x14ac:dyDescent="0.25">
      <c r="A429" t="s">
        <v>744</v>
      </c>
      <c r="B429" s="1">
        <v>44987</v>
      </c>
      <c r="C429" t="s">
        <v>745</v>
      </c>
      <c r="D429" t="s">
        <v>35</v>
      </c>
      <c r="E429" t="s">
        <v>60</v>
      </c>
      <c r="F429" t="s">
        <v>32</v>
      </c>
      <c r="G429" t="s">
        <v>22</v>
      </c>
      <c r="H429">
        <v>29</v>
      </c>
      <c r="I429">
        <v>48.08</v>
      </c>
      <c r="J429">
        <v>0</v>
      </c>
      <c r="K429">
        <v>1394.32</v>
      </c>
      <c r="L429" t="str">
        <f t="shared" si="6"/>
        <v xml:space="preserve">No_Discount </v>
      </c>
    </row>
    <row r="430" spans="1:12" x14ac:dyDescent="0.25">
      <c r="A430" t="s">
        <v>746</v>
      </c>
      <c r="B430" s="1">
        <v>45216</v>
      </c>
      <c r="C430" t="s">
        <v>137</v>
      </c>
      <c r="D430" t="s">
        <v>99</v>
      </c>
      <c r="E430" t="s">
        <v>60</v>
      </c>
      <c r="F430" t="s">
        <v>27</v>
      </c>
      <c r="G430" t="s">
        <v>28</v>
      </c>
      <c r="H430">
        <v>43</v>
      </c>
      <c r="I430">
        <v>133.96</v>
      </c>
      <c r="J430">
        <v>0.2</v>
      </c>
      <c r="K430">
        <v>4608.22</v>
      </c>
      <c r="L430" t="str">
        <f t="shared" si="6"/>
        <v xml:space="preserve">Medium </v>
      </c>
    </row>
    <row r="431" spans="1:12" x14ac:dyDescent="0.25">
      <c r="A431" t="s">
        <v>747</v>
      </c>
      <c r="B431" s="1">
        <v>45178</v>
      </c>
      <c r="C431" t="s">
        <v>402</v>
      </c>
      <c r="D431" t="s">
        <v>76</v>
      </c>
      <c r="E431" t="s">
        <v>14</v>
      </c>
      <c r="F431" t="s">
        <v>79</v>
      </c>
      <c r="G431" t="s">
        <v>22</v>
      </c>
      <c r="H431">
        <v>19</v>
      </c>
      <c r="I431">
        <v>33.19</v>
      </c>
      <c r="J431">
        <v>0</v>
      </c>
      <c r="K431">
        <v>630.61</v>
      </c>
      <c r="L431" t="str">
        <f t="shared" si="6"/>
        <v xml:space="preserve">No_Discount </v>
      </c>
    </row>
    <row r="432" spans="1:12" x14ac:dyDescent="0.25">
      <c r="A432" t="s">
        <v>748</v>
      </c>
      <c r="B432" s="1">
        <v>45081</v>
      </c>
      <c r="C432" t="s">
        <v>664</v>
      </c>
      <c r="D432" t="s">
        <v>25</v>
      </c>
      <c r="E432" t="s">
        <v>26</v>
      </c>
      <c r="F432" t="s">
        <v>42</v>
      </c>
      <c r="G432" t="s">
        <v>43</v>
      </c>
      <c r="H432">
        <v>15</v>
      </c>
      <c r="I432">
        <v>360.93</v>
      </c>
      <c r="J432">
        <v>0.15</v>
      </c>
      <c r="K432">
        <v>4601.8599999999997</v>
      </c>
      <c r="L432" t="str">
        <f t="shared" si="6"/>
        <v xml:space="preserve">Medium </v>
      </c>
    </row>
    <row r="433" spans="1:12" x14ac:dyDescent="0.25">
      <c r="A433" t="s">
        <v>590</v>
      </c>
      <c r="B433" s="1">
        <v>45127</v>
      </c>
      <c r="C433" t="s">
        <v>41</v>
      </c>
      <c r="D433" t="s">
        <v>25</v>
      </c>
      <c r="E433" t="s">
        <v>26</v>
      </c>
      <c r="F433" t="s">
        <v>79</v>
      </c>
      <c r="G433" t="s">
        <v>22</v>
      </c>
      <c r="H433">
        <v>6</v>
      </c>
      <c r="I433">
        <v>34.130000000000003</v>
      </c>
      <c r="J433">
        <v>0</v>
      </c>
      <c r="K433">
        <v>204.78</v>
      </c>
      <c r="L433" t="str">
        <f t="shared" si="6"/>
        <v xml:space="preserve">No_Discount </v>
      </c>
    </row>
    <row r="434" spans="1:12" x14ac:dyDescent="0.25">
      <c r="A434" t="s">
        <v>749</v>
      </c>
      <c r="B434" s="1">
        <v>45188</v>
      </c>
      <c r="C434" t="s">
        <v>542</v>
      </c>
      <c r="D434" t="s">
        <v>76</v>
      </c>
      <c r="E434" t="s">
        <v>26</v>
      </c>
      <c r="F434" t="s">
        <v>42</v>
      </c>
      <c r="G434" t="s">
        <v>43</v>
      </c>
      <c r="H434">
        <v>41</v>
      </c>
      <c r="I434">
        <v>357.56</v>
      </c>
      <c r="J434">
        <v>0.2</v>
      </c>
      <c r="K434">
        <v>11727.97</v>
      </c>
      <c r="L434" t="str">
        <f t="shared" si="6"/>
        <v xml:space="preserve">Medium </v>
      </c>
    </row>
    <row r="435" spans="1:12" x14ac:dyDescent="0.25">
      <c r="A435" t="s">
        <v>750</v>
      </c>
      <c r="B435" s="1">
        <v>45021</v>
      </c>
      <c r="C435" t="s">
        <v>41</v>
      </c>
      <c r="D435" t="s">
        <v>31</v>
      </c>
      <c r="E435" t="s">
        <v>26</v>
      </c>
      <c r="F435" t="s">
        <v>54</v>
      </c>
      <c r="G435" t="s">
        <v>55</v>
      </c>
      <c r="H435">
        <v>29</v>
      </c>
      <c r="I435">
        <v>410.48</v>
      </c>
      <c r="J435">
        <v>0</v>
      </c>
      <c r="K435">
        <v>11903.92</v>
      </c>
      <c r="L435" t="str">
        <f t="shared" si="6"/>
        <v xml:space="preserve">No_Discount </v>
      </c>
    </row>
    <row r="436" spans="1:12" x14ac:dyDescent="0.25">
      <c r="A436" t="s">
        <v>751</v>
      </c>
      <c r="B436" s="1">
        <v>45240</v>
      </c>
      <c r="C436" t="s">
        <v>182</v>
      </c>
      <c r="D436" t="s">
        <v>25</v>
      </c>
      <c r="E436" t="s">
        <v>14</v>
      </c>
      <c r="F436" t="s">
        <v>32</v>
      </c>
      <c r="G436" t="s">
        <v>22</v>
      </c>
      <c r="H436">
        <v>2</v>
      </c>
      <c r="I436">
        <v>41.87</v>
      </c>
      <c r="J436">
        <v>0.15</v>
      </c>
      <c r="K436">
        <v>71.180000000000007</v>
      </c>
      <c r="L436" t="str">
        <f t="shared" si="6"/>
        <v xml:space="preserve">Medium </v>
      </c>
    </row>
    <row r="437" spans="1:12" x14ac:dyDescent="0.25">
      <c r="A437" t="s">
        <v>87</v>
      </c>
      <c r="B437" s="1">
        <v>45070</v>
      </c>
      <c r="C437" t="s">
        <v>369</v>
      </c>
      <c r="D437" t="s">
        <v>76</v>
      </c>
      <c r="E437" t="s">
        <v>14</v>
      </c>
      <c r="F437" t="s">
        <v>82</v>
      </c>
      <c r="G437" t="s">
        <v>43</v>
      </c>
      <c r="H437">
        <v>21</v>
      </c>
      <c r="I437">
        <v>1135.8599999999999</v>
      </c>
      <c r="J437">
        <v>0.05</v>
      </c>
      <c r="K437">
        <v>22660.41</v>
      </c>
      <c r="L437" t="str">
        <f t="shared" si="6"/>
        <v xml:space="preserve">Low </v>
      </c>
    </row>
    <row r="438" spans="1:12" x14ac:dyDescent="0.25">
      <c r="A438" t="s">
        <v>752</v>
      </c>
      <c r="B438" s="1">
        <v>45251</v>
      </c>
      <c r="C438" t="s">
        <v>635</v>
      </c>
      <c r="D438" t="s">
        <v>35</v>
      </c>
      <c r="E438" t="s">
        <v>20</v>
      </c>
      <c r="F438" t="s">
        <v>32</v>
      </c>
      <c r="G438" t="s">
        <v>22</v>
      </c>
      <c r="H438">
        <v>29</v>
      </c>
      <c r="I438">
        <v>47.85</v>
      </c>
      <c r="J438">
        <v>0.1</v>
      </c>
      <c r="K438">
        <v>1248.8900000000001</v>
      </c>
      <c r="L438" t="str">
        <f t="shared" si="6"/>
        <v xml:space="preserve">Low </v>
      </c>
    </row>
    <row r="439" spans="1:12" x14ac:dyDescent="0.25">
      <c r="A439" t="s">
        <v>753</v>
      </c>
      <c r="B439" s="1">
        <v>44996</v>
      </c>
      <c r="C439" t="s">
        <v>455</v>
      </c>
      <c r="D439" t="s">
        <v>76</v>
      </c>
      <c r="E439" t="s">
        <v>60</v>
      </c>
      <c r="F439" t="s">
        <v>79</v>
      </c>
      <c r="G439" t="s">
        <v>22</v>
      </c>
      <c r="H439">
        <v>20</v>
      </c>
      <c r="I439">
        <v>36.42</v>
      </c>
      <c r="J439">
        <v>0.15</v>
      </c>
      <c r="K439">
        <v>619.14</v>
      </c>
      <c r="L439" t="str">
        <f t="shared" si="6"/>
        <v xml:space="preserve">Medium </v>
      </c>
    </row>
    <row r="440" spans="1:12" x14ac:dyDescent="0.25">
      <c r="A440" t="s">
        <v>754</v>
      </c>
      <c r="B440" s="1">
        <v>44968</v>
      </c>
      <c r="C440" t="s">
        <v>755</v>
      </c>
      <c r="D440" t="s">
        <v>99</v>
      </c>
      <c r="E440" t="s">
        <v>26</v>
      </c>
      <c r="F440" t="s">
        <v>54</v>
      </c>
      <c r="G440" t="s">
        <v>55</v>
      </c>
      <c r="H440">
        <v>33</v>
      </c>
      <c r="I440">
        <v>447.72</v>
      </c>
      <c r="J440">
        <v>0</v>
      </c>
      <c r="K440">
        <v>14774.76</v>
      </c>
      <c r="L440" t="str">
        <f t="shared" si="6"/>
        <v xml:space="preserve">No_Discount </v>
      </c>
    </row>
    <row r="441" spans="1:12" x14ac:dyDescent="0.25">
      <c r="A441" t="s">
        <v>756</v>
      </c>
      <c r="B441" s="1">
        <v>44979</v>
      </c>
      <c r="C441" t="s">
        <v>690</v>
      </c>
      <c r="D441" t="s">
        <v>53</v>
      </c>
      <c r="E441" t="s">
        <v>60</v>
      </c>
      <c r="F441" t="s">
        <v>79</v>
      </c>
      <c r="G441" t="s">
        <v>22</v>
      </c>
      <c r="H441">
        <v>20</v>
      </c>
      <c r="I441">
        <v>35.729999999999997</v>
      </c>
      <c r="J441">
        <v>0</v>
      </c>
      <c r="K441">
        <v>714.6</v>
      </c>
      <c r="L441" t="str">
        <f t="shared" si="6"/>
        <v xml:space="preserve">No_Discount </v>
      </c>
    </row>
    <row r="442" spans="1:12" x14ac:dyDescent="0.25">
      <c r="A442" t="s">
        <v>757</v>
      </c>
      <c r="B442" s="1">
        <v>44929</v>
      </c>
      <c r="C442" t="s">
        <v>758</v>
      </c>
      <c r="D442" t="s">
        <v>31</v>
      </c>
      <c r="E442" t="s">
        <v>60</v>
      </c>
      <c r="F442" t="s">
        <v>21</v>
      </c>
      <c r="G442" t="s">
        <v>22</v>
      </c>
      <c r="H442">
        <v>44</v>
      </c>
      <c r="I442">
        <v>80.41</v>
      </c>
      <c r="J442">
        <v>0</v>
      </c>
      <c r="K442">
        <v>3538.04</v>
      </c>
      <c r="L442" t="str">
        <f t="shared" si="6"/>
        <v xml:space="preserve">No_Discount </v>
      </c>
    </row>
    <row r="443" spans="1:12" x14ac:dyDescent="0.25">
      <c r="A443" t="s">
        <v>759</v>
      </c>
      <c r="B443" s="1">
        <v>44977</v>
      </c>
      <c r="C443" t="s">
        <v>344</v>
      </c>
      <c r="D443" t="s">
        <v>39</v>
      </c>
      <c r="E443" t="s">
        <v>20</v>
      </c>
      <c r="F443" t="s">
        <v>82</v>
      </c>
      <c r="G443" t="s">
        <v>43</v>
      </c>
      <c r="H443">
        <v>43</v>
      </c>
      <c r="I443">
        <v>1233.1099999999999</v>
      </c>
      <c r="J443">
        <v>0.1</v>
      </c>
      <c r="K443">
        <v>47721.36</v>
      </c>
      <c r="L443" t="str">
        <f t="shared" si="6"/>
        <v xml:space="preserve">Low </v>
      </c>
    </row>
    <row r="444" spans="1:12" x14ac:dyDescent="0.25">
      <c r="A444" t="s">
        <v>760</v>
      </c>
      <c r="B444" s="1">
        <v>45276</v>
      </c>
      <c r="C444" t="s">
        <v>761</v>
      </c>
      <c r="D444" t="s">
        <v>76</v>
      </c>
      <c r="E444" t="s">
        <v>26</v>
      </c>
      <c r="F444" t="s">
        <v>21</v>
      </c>
      <c r="G444" t="s">
        <v>22</v>
      </c>
      <c r="H444">
        <v>42</v>
      </c>
      <c r="I444">
        <v>82.31</v>
      </c>
      <c r="J444">
        <v>0</v>
      </c>
      <c r="K444">
        <v>3457.02</v>
      </c>
      <c r="L444" t="str">
        <f t="shared" si="6"/>
        <v xml:space="preserve">No_Discount </v>
      </c>
    </row>
    <row r="445" spans="1:12" x14ac:dyDescent="0.25">
      <c r="A445" t="s">
        <v>762</v>
      </c>
      <c r="B445" s="1">
        <v>45196</v>
      </c>
      <c r="C445" t="s">
        <v>235</v>
      </c>
      <c r="D445" t="s">
        <v>67</v>
      </c>
      <c r="E445" t="s">
        <v>26</v>
      </c>
      <c r="F445" t="s">
        <v>82</v>
      </c>
      <c r="G445" t="s">
        <v>43</v>
      </c>
      <c r="H445">
        <v>5</v>
      </c>
      <c r="I445">
        <v>1175.73</v>
      </c>
      <c r="J445">
        <v>0.2</v>
      </c>
      <c r="K445">
        <v>4702.92</v>
      </c>
      <c r="L445" t="str">
        <f t="shared" si="6"/>
        <v xml:space="preserve">Medium </v>
      </c>
    </row>
    <row r="446" spans="1:12" x14ac:dyDescent="0.25">
      <c r="A446" t="s">
        <v>763</v>
      </c>
      <c r="B446" s="1">
        <v>45258</v>
      </c>
      <c r="C446" t="s">
        <v>764</v>
      </c>
      <c r="D446" t="s">
        <v>76</v>
      </c>
      <c r="E446" t="s">
        <v>20</v>
      </c>
      <c r="F446" t="s">
        <v>27</v>
      </c>
      <c r="G446" t="s">
        <v>28</v>
      </c>
      <c r="H446">
        <v>29</v>
      </c>
      <c r="I446">
        <v>124.93</v>
      </c>
      <c r="J446">
        <v>0</v>
      </c>
      <c r="K446">
        <v>3622.97</v>
      </c>
      <c r="L446" t="str">
        <f t="shared" si="6"/>
        <v xml:space="preserve">No_Discount </v>
      </c>
    </row>
    <row r="447" spans="1:12" x14ac:dyDescent="0.25">
      <c r="A447" t="s">
        <v>765</v>
      </c>
      <c r="B447" s="1">
        <v>44966</v>
      </c>
      <c r="C447" t="s">
        <v>178</v>
      </c>
      <c r="D447" t="s">
        <v>31</v>
      </c>
      <c r="E447" t="s">
        <v>36</v>
      </c>
      <c r="F447" t="s">
        <v>15</v>
      </c>
      <c r="G447" t="s">
        <v>16</v>
      </c>
      <c r="H447">
        <v>42</v>
      </c>
      <c r="I447">
        <v>96.35</v>
      </c>
      <c r="J447">
        <v>0.05</v>
      </c>
      <c r="K447">
        <v>3844.36</v>
      </c>
      <c r="L447" t="str">
        <f t="shared" si="6"/>
        <v xml:space="preserve">Low </v>
      </c>
    </row>
    <row r="448" spans="1:12" x14ac:dyDescent="0.25">
      <c r="A448" t="s">
        <v>766</v>
      </c>
      <c r="B448" s="1">
        <v>45005</v>
      </c>
      <c r="C448" t="s">
        <v>149</v>
      </c>
      <c r="D448" t="s">
        <v>50</v>
      </c>
      <c r="E448" t="s">
        <v>60</v>
      </c>
      <c r="F448" t="s">
        <v>79</v>
      </c>
      <c r="G448" t="s">
        <v>22</v>
      </c>
      <c r="H448">
        <v>45</v>
      </c>
      <c r="I448">
        <v>35.049999999999997</v>
      </c>
      <c r="J448">
        <v>0.05</v>
      </c>
      <c r="K448">
        <v>1498.39</v>
      </c>
      <c r="L448" t="str">
        <f t="shared" si="6"/>
        <v xml:space="preserve">Low </v>
      </c>
    </row>
    <row r="449" spans="1:12" x14ac:dyDescent="0.25">
      <c r="A449" t="s">
        <v>767</v>
      </c>
      <c r="B449" s="1">
        <v>45101</v>
      </c>
      <c r="C449" t="s">
        <v>594</v>
      </c>
      <c r="D449" t="s">
        <v>76</v>
      </c>
      <c r="E449" t="s">
        <v>20</v>
      </c>
      <c r="F449" t="s">
        <v>54</v>
      </c>
      <c r="G449" t="s">
        <v>55</v>
      </c>
      <c r="H449">
        <v>2</v>
      </c>
      <c r="I449">
        <v>482.4</v>
      </c>
      <c r="J449">
        <v>0.15</v>
      </c>
      <c r="K449">
        <v>820.08</v>
      </c>
      <c r="L449" t="str">
        <f t="shared" si="6"/>
        <v xml:space="preserve">Medium </v>
      </c>
    </row>
    <row r="450" spans="1:12" x14ac:dyDescent="0.25">
      <c r="A450" t="s">
        <v>768</v>
      </c>
      <c r="B450" s="1">
        <v>44948</v>
      </c>
      <c r="C450" t="s">
        <v>139</v>
      </c>
      <c r="D450" t="s">
        <v>25</v>
      </c>
      <c r="E450" t="s">
        <v>26</v>
      </c>
      <c r="F450" t="s">
        <v>82</v>
      </c>
      <c r="G450" t="s">
        <v>43</v>
      </c>
      <c r="H450">
        <v>20</v>
      </c>
      <c r="I450">
        <v>1231.72</v>
      </c>
      <c r="J450">
        <v>0.05</v>
      </c>
      <c r="K450">
        <v>23402.68</v>
      </c>
      <c r="L450" t="str">
        <f t="shared" ref="L450:L511" si="7">IF(J450=0, "No_Discount ", IF(J450&lt;=0.1, "Low ", IF(J450&lt;=0.2, "Medium ", "High ")))</f>
        <v xml:space="preserve">Low </v>
      </c>
    </row>
    <row r="451" spans="1:12" x14ac:dyDescent="0.25">
      <c r="A451" t="s">
        <v>769</v>
      </c>
      <c r="B451" s="1">
        <v>45096</v>
      </c>
      <c r="C451" t="s">
        <v>770</v>
      </c>
      <c r="D451" t="s">
        <v>76</v>
      </c>
      <c r="E451" t="s">
        <v>26</v>
      </c>
      <c r="F451" t="s">
        <v>15</v>
      </c>
      <c r="G451" t="s">
        <v>16</v>
      </c>
      <c r="H451">
        <v>19</v>
      </c>
      <c r="I451">
        <v>106.49</v>
      </c>
      <c r="J451">
        <v>0.1</v>
      </c>
      <c r="K451">
        <v>1820.98</v>
      </c>
      <c r="L451" t="str">
        <f t="shared" si="7"/>
        <v xml:space="preserve">Low </v>
      </c>
    </row>
    <row r="452" spans="1:12" x14ac:dyDescent="0.25">
      <c r="A452" t="s">
        <v>771</v>
      </c>
      <c r="B452" s="1">
        <v>45020</v>
      </c>
      <c r="C452" t="s">
        <v>772</v>
      </c>
      <c r="D452" t="s">
        <v>39</v>
      </c>
      <c r="E452" t="s">
        <v>14</v>
      </c>
      <c r="F452" t="s">
        <v>42</v>
      </c>
      <c r="G452" t="s">
        <v>43</v>
      </c>
      <c r="H452">
        <v>23</v>
      </c>
      <c r="I452">
        <v>348.94</v>
      </c>
      <c r="J452">
        <v>0</v>
      </c>
      <c r="K452">
        <v>8025.62</v>
      </c>
      <c r="L452" t="str">
        <f t="shared" si="7"/>
        <v xml:space="preserve">No_Discount </v>
      </c>
    </row>
    <row r="453" spans="1:12" x14ac:dyDescent="0.25">
      <c r="A453" t="s">
        <v>773</v>
      </c>
      <c r="B453" s="1">
        <v>45287</v>
      </c>
      <c r="C453" t="s">
        <v>774</v>
      </c>
      <c r="D453" t="s">
        <v>53</v>
      </c>
      <c r="E453" t="s">
        <v>60</v>
      </c>
      <c r="F453" t="s">
        <v>54</v>
      </c>
      <c r="G453" t="s">
        <v>55</v>
      </c>
      <c r="H453">
        <v>45</v>
      </c>
      <c r="I453">
        <v>429.87</v>
      </c>
      <c r="J453">
        <v>0.2</v>
      </c>
      <c r="K453">
        <v>15475.32</v>
      </c>
      <c r="L453" t="str">
        <f t="shared" si="7"/>
        <v xml:space="preserve">Medium </v>
      </c>
    </row>
    <row r="454" spans="1:12" x14ac:dyDescent="0.25">
      <c r="A454" t="s">
        <v>775</v>
      </c>
      <c r="B454" s="1">
        <v>45243</v>
      </c>
      <c r="C454" t="s">
        <v>776</v>
      </c>
      <c r="D454" t="s">
        <v>35</v>
      </c>
      <c r="E454" t="s">
        <v>26</v>
      </c>
      <c r="F454" t="s">
        <v>54</v>
      </c>
      <c r="G454" t="s">
        <v>55</v>
      </c>
      <c r="H454">
        <v>31</v>
      </c>
      <c r="I454">
        <v>467.69</v>
      </c>
      <c r="J454">
        <v>0.2</v>
      </c>
      <c r="K454">
        <v>11598.71</v>
      </c>
      <c r="L454" t="str">
        <f t="shared" si="7"/>
        <v xml:space="preserve">Medium </v>
      </c>
    </row>
    <row r="455" spans="1:12" x14ac:dyDescent="0.25">
      <c r="A455" t="s">
        <v>777</v>
      </c>
      <c r="B455" s="1">
        <v>44996</v>
      </c>
      <c r="C455" t="s">
        <v>59</v>
      </c>
      <c r="D455" t="s">
        <v>39</v>
      </c>
      <c r="E455" t="s">
        <v>60</v>
      </c>
      <c r="F455" t="s">
        <v>42</v>
      </c>
      <c r="G455" t="s">
        <v>43</v>
      </c>
      <c r="H455">
        <v>41</v>
      </c>
      <c r="I455">
        <v>333.93</v>
      </c>
      <c r="J455">
        <v>0.05</v>
      </c>
      <c r="K455">
        <v>13006.57</v>
      </c>
      <c r="L455" t="str">
        <f t="shared" si="7"/>
        <v xml:space="preserve">Low </v>
      </c>
    </row>
    <row r="456" spans="1:12" x14ac:dyDescent="0.25">
      <c r="A456" t="s">
        <v>778</v>
      </c>
      <c r="B456" s="1">
        <v>45233</v>
      </c>
      <c r="C456" t="s">
        <v>648</v>
      </c>
      <c r="D456" t="s">
        <v>53</v>
      </c>
      <c r="E456" t="s">
        <v>20</v>
      </c>
      <c r="F456" t="s">
        <v>54</v>
      </c>
      <c r="G456" t="s">
        <v>55</v>
      </c>
      <c r="H456">
        <v>6</v>
      </c>
      <c r="I456">
        <v>418.21</v>
      </c>
      <c r="J456">
        <v>0.2</v>
      </c>
      <c r="K456">
        <v>2007.41</v>
      </c>
      <c r="L456" t="str">
        <f t="shared" si="7"/>
        <v xml:space="preserve">Medium </v>
      </c>
    </row>
    <row r="457" spans="1:12" x14ac:dyDescent="0.25">
      <c r="A457" t="s">
        <v>779</v>
      </c>
      <c r="B457" s="1">
        <v>45038</v>
      </c>
      <c r="C457" t="s">
        <v>780</v>
      </c>
      <c r="D457" t="s">
        <v>31</v>
      </c>
      <c r="E457" t="s">
        <v>26</v>
      </c>
      <c r="F457" t="s">
        <v>42</v>
      </c>
      <c r="G457" t="s">
        <v>43</v>
      </c>
      <c r="H457">
        <v>44</v>
      </c>
      <c r="I457">
        <v>341.34</v>
      </c>
      <c r="J457">
        <v>0.2</v>
      </c>
      <c r="K457">
        <v>12015.17</v>
      </c>
      <c r="L457" t="str">
        <f t="shared" si="7"/>
        <v xml:space="preserve">Medium </v>
      </c>
    </row>
    <row r="458" spans="1:12" x14ac:dyDescent="0.25">
      <c r="A458" t="s">
        <v>781</v>
      </c>
      <c r="B458" s="1">
        <v>45102</v>
      </c>
      <c r="C458" t="s">
        <v>782</v>
      </c>
      <c r="D458" t="s">
        <v>67</v>
      </c>
      <c r="E458" t="s">
        <v>14</v>
      </c>
      <c r="F458" t="s">
        <v>32</v>
      </c>
      <c r="G458" t="s">
        <v>22</v>
      </c>
      <c r="H458">
        <v>25</v>
      </c>
      <c r="I458">
        <v>49.76</v>
      </c>
      <c r="J458">
        <v>0</v>
      </c>
      <c r="K458">
        <v>1244</v>
      </c>
      <c r="L458" t="str">
        <f t="shared" si="7"/>
        <v xml:space="preserve">No_Discount </v>
      </c>
    </row>
    <row r="459" spans="1:12" x14ac:dyDescent="0.25">
      <c r="A459" t="s">
        <v>783</v>
      </c>
      <c r="B459" s="1">
        <v>45105</v>
      </c>
      <c r="C459" t="s">
        <v>784</v>
      </c>
      <c r="D459" t="s">
        <v>50</v>
      </c>
      <c r="E459" t="s">
        <v>36</v>
      </c>
      <c r="F459" t="s">
        <v>21</v>
      </c>
      <c r="G459" t="s">
        <v>22</v>
      </c>
      <c r="H459">
        <v>27</v>
      </c>
      <c r="I459">
        <v>91.55</v>
      </c>
      <c r="J459">
        <v>0</v>
      </c>
      <c r="K459">
        <v>2471.85</v>
      </c>
      <c r="L459" t="str">
        <f t="shared" si="7"/>
        <v xml:space="preserve">No_Discount </v>
      </c>
    </row>
    <row r="460" spans="1:12" x14ac:dyDescent="0.25">
      <c r="A460" t="s">
        <v>785</v>
      </c>
      <c r="B460" s="1">
        <v>45129</v>
      </c>
      <c r="C460" t="s">
        <v>786</v>
      </c>
      <c r="D460" t="s">
        <v>35</v>
      </c>
      <c r="E460" t="s">
        <v>20</v>
      </c>
      <c r="F460" t="s">
        <v>79</v>
      </c>
      <c r="G460" t="s">
        <v>22</v>
      </c>
      <c r="H460">
        <v>38</v>
      </c>
      <c r="I460">
        <v>39.700000000000003</v>
      </c>
      <c r="J460">
        <v>0.15</v>
      </c>
      <c r="K460">
        <v>1282.31</v>
      </c>
      <c r="L460" t="str">
        <f t="shared" si="7"/>
        <v xml:space="preserve">Medium </v>
      </c>
    </row>
    <row r="461" spans="1:12" x14ac:dyDescent="0.25">
      <c r="A461" t="s">
        <v>787</v>
      </c>
      <c r="B461" s="1">
        <v>45011</v>
      </c>
      <c r="C461" t="s">
        <v>788</v>
      </c>
      <c r="D461" t="s">
        <v>76</v>
      </c>
      <c r="E461" t="s">
        <v>60</v>
      </c>
      <c r="F461" t="s">
        <v>15</v>
      </c>
      <c r="G461" t="s">
        <v>16</v>
      </c>
      <c r="H461">
        <v>50</v>
      </c>
      <c r="I461">
        <v>107.76</v>
      </c>
      <c r="J461">
        <v>0</v>
      </c>
      <c r="K461">
        <v>5388</v>
      </c>
      <c r="L461" t="str">
        <f t="shared" si="7"/>
        <v xml:space="preserve">No_Discount </v>
      </c>
    </row>
    <row r="462" spans="1:12" x14ac:dyDescent="0.25">
      <c r="A462" t="s">
        <v>789</v>
      </c>
      <c r="B462" s="1">
        <v>44971</v>
      </c>
      <c r="C462" t="s">
        <v>790</v>
      </c>
      <c r="D462" t="s">
        <v>19</v>
      </c>
      <c r="E462" t="s">
        <v>36</v>
      </c>
      <c r="F462" t="s">
        <v>79</v>
      </c>
      <c r="G462" t="s">
        <v>22</v>
      </c>
      <c r="H462">
        <v>8</v>
      </c>
      <c r="I462">
        <v>36.380000000000003</v>
      </c>
      <c r="J462">
        <v>0</v>
      </c>
      <c r="K462">
        <v>291.04000000000002</v>
      </c>
      <c r="L462" t="str">
        <f t="shared" si="7"/>
        <v xml:space="preserve">No_Discount </v>
      </c>
    </row>
    <row r="463" spans="1:12" x14ac:dyDescent="0.25">
      <c r="A463" t="s">
        <v>791</v>
      </c>
      <c r="B463" s="1">
        <v>45132</v>
      </c>
      <c r="C463" t="s">
        <v>263</v>
      </c>
      <c r="D463" t="s">
        <v>39</v>
      </c>
      <c r="E463" t="s">
        <v>60</v>
      </c>
      <c r="F463" t="s">
        <v>27</v>
      </c>
      <c r="G463" t="s">
        <v>28</v>
      </c>
      <c r="H463">
        <v>6</v>
      </c>
      <c r="I463">
        <v>126.44</v>
      </c>
      <c r="J463">
        <v>-0.28999999999999998</v>
      </c>
      <c r="K463">
        <v>977.1</v>
      </c>
      <c r="L463" t="str">
        <f t="shared" si="7"/>
        <v xml:space="preserve">Low </v>
      </c>
    </row>
    <row r="464" spans="1:12" x14ac:dyDescent="0.25">
      <c r="A464" t="s">
        <v>792</v>
      </c>
      <c r="B464" s="1">
        <v>45286</v>
      </c>
      <c r="C464" t="s">
        <v>363</v>
      </c>
      <c r="D464" t="s">
        <v>31</v>
      </c>
      <c r="E464" t="s">
        <v>20</v>
      </c>
      <c r="F464" t="s">
        <v>42</v>
      </c>
      <c r="G464" t="s">
        <v>43</v>
      </c>
      <c r="H464">
        <v>44</v>
      </c>
      <c r="I464">
        <v>340.34</v>
      </c>
      <c r="J464">
        <v>0.03</v>
      </c>
      <c r="K464">
        <v>14599</v>
      </c>
      <c r="L464" t="str">
        <f t="shared" si="7"/>
        <v xml:space="preserve">Low </v>
      </c>
    </row>
    <row r="465" spans="1:12" x14ac:dyDescent="0.25">
      <c r="A465" t="s">
        <v>793</v>
      </c>
      <c r="B465" s="1">
        <v>44969</v>
      </c>
      <c r="C465" t="s">
        <v>794</v>
      </c>
      <c r="D465" t="s">
        <v>31</v>
      </c>
      <c r="E465" t="s">
        <v>26</v>
      </c>
      <c r="F465" t="s">
        <v>42</v>
      </c>
      <c r="G465" t="s">
        <v>43</v>
      </c>
      <c r="H465">
        <v>22</v>
      </c>
      <c r="I465">
        <v>353.73</v>
      </c>
      <c r="J465">
        <v>0</v>
      </c>
      <c r="K465">
        <v>7782.06</v>
      </c>
      <c r="L465" t="str">
        <f t="shared" si="7"/>
        <v xml:space="preserve">No_Discount </v>
      </c>
    </row>
    <row r="466" spans="1:12" x14ac:dyDescent="0.25">
      <c r="A466" t="s">
        <v>795</v>
      </c>
      <c r="B466" s="1">
        <v>45098</v>
      </c>
      <c r="C466" t="s">
        <v>796</v>
      </c>
      <c r="D466" t="s">
        <v>19</v>
      </c>
      <c r="E466" t="s">
        <v>26</v>
      </c>
      <c r="F466" t="s">
        <v>82</v>
      </c>
      <c r="G466" t="s">
        <v>43</v>
      </c>
      <c r="H466">
        <v>23</v>
      </c>
      <c r="I466">
        <v>13791.5</v>
      </c>
      <c r="J466">
        <v>0.92</v>
      </c>
      <c r="K466">
        <v>25376.36</v>
      </c>
      <c r="L466" t="str">
        <f t="shared" si="7"/>
        <v xml:space="preserve">High </v>
      </c>
    </row>
    <row r="467" spans="1:12" x14ac:dyDescent="0.25">
      <c r="A467" t="s">
        <v>797</v>
      </c>
      <c r="B467" s="1">
        <v>45216</v>
      </c>
      <c r="C467" t="s">
        <v>121</v>
      </c>
      <c r="D467" t="s">
        <v>31</v>
      </c>
      <c r="E467" t="s">
        <v>26</v>
      </c>
      <c r="F467" t="s">
        <v>82</v>
      </c>
      <c r="G467" t="s">
        <v>43</v>
      </c>
      <c r="H467">
        <v>50</v>
      </c>
      <c r="I467">
        <v>1097.6199999999999</v>
      </c>
      <c r="J467">
        <v>0</v>
      </c>
      <c r="K467">
        <v>54881</v>
      </c>
      <c r="L467" t="str">
        <f t="shared" si="7"/>
        <v xml:space="preserve">No_Discount </v>
      </c>
    </row>
    <row r="468" spans="1:12" x14ac:dyDescent="0.25">
      <c r="A468" t="s">
        <v>798</v>
      </c>
      <c r="B468" s="1">
        <v>44932</v>
      </c>
      <c r="C468" t="s">
        <v>799</v>
      </c>
      <c r="D468" t="s">
        <v>39</v>
      </c>
      <c r="E468" t="s">
        <v>14</v>
      </c>
      <c r="F468" t="s">
        <v>82</v>
      </c>
      <c r="G468" t="s">
        <v>43</v>
      </c>
      <c r="H468">
        <v>5</v>
      </c>
      <c r="I468">
        <v>1107.28</v>
      </c>
      <c r="J468">
        <v>0.05</v>
      </c>
      <c r="K468">
        <v>5259.58</v>
      </c>
      <c r="L468" t="str">
        <f t="shared" si="7"/>
        <v xml:space="preserve">Low </v>
      </c>
    </row>
    <row r="469" spans="1:12" x14ac:dyDescent="0.25">
      <c r="A469" t="s">
        <v>800</v>
      </c>
      <c r="B469" s="1">
        <v>45026</v>
      </c>
      <c r="C469" t="s">
        <v>386</v>
      </c>
      <c r="D469" t="s">
        <v>50</v>
      </c>
      <c r="E469" t="s">
        <v>36</v>
      </c>
      <c r="F469" t="s">
        <v>54</v>
      </c>
      <c r="G469" t="s">
        <v>55</v>
      </c>
      <c r="H469">
        <v>40</v>
      </c>
      <c r="I469">
        <v>429.89</v>
      </c>
      <c r="J469">
        <v>0</v>
      </c>
      <c r="K469">
        <v>17195.599999999999</v>
      </c>
      <c r="L469" t="str">
        <f t="shared" si="7"/>
        <v xml:space="preserve">No_Discount </v>
      </c>
    </row>
    <row r="470" spans="1:12" x14ac:dyDescent="0.25">
      <c r="A470" t="s">
        <v>801</v>
      </c>
      <c r="B470" s="1">
        <v>45027</v>
      </c>
      <c r="C470" t="s">
        <v>41</v>
      </c>
      <c r="D470" t="s">
        <v>19</v>
      </c>
      <c r="E470" t="s">
        <v>26</v>
      </c>
      <c r="F470" t="s">
        <v>32</v>
      </c>
      <c r="G470" t="s">
        <v>22</v>
      </c>
      <c r="H470">
        <v>16</v>
      </c>
      <c r="I470">
        <v>47.77</v>
      </c>
      <c r="J470">
        <v>0</v>
      </c>
      <c r="K470">
        <v>764.32</v>
      </c>
      <c r="L470" t="str">
        <f t="shared" si="7"/>
        <v xml:space="preserve">No_Discount </v>
      </c>
    </row>
    <row r="471" spans="1:12" x14ac:dyDescent="0.25">
      <c r="A471" t="s">
        <v>802</v>
      </c>
      <c r="B471" s="1">
        <v>45264</v>
      </c>
      <c r="C471" t="s">
        <v>411</v>
      </c>
      <c r="D471" t="s">
        <v>19</v>
      </c>
      <c r="E471" t="s">
        <v>14</v>
      </c>
      <c r="F471" t="s">
        <v>27</v>
      </c>
      <c r="G471" t="s">
        <v>28</v>
      </c>
      <c r="H471">
        <v>32</v>
      </c>
      <c r="I471">
        <v>117.2</v>
      </c>
      <c r="J471">
        <v>0</v>
      </c>
      <c r="K471">
        <v>3750.4</v>
      </c>
      <c r="L471" t="str">
        <f t="shared" si="7"/>
        <v xml:space="preserve">No_Discount </v>
      </c>
    </row>
    <row r="472" spans="1:12" x14ac:dyDescent="0.25">
      <c r="A472" t="s">
        <v>803</v>
      </c>
      <c r="B472" s="1">
        <v>45121</v>
      </c>
      <c r="C472" t="s">
        <v>804</v>
      </c>
      <c r="D472" t="s">
        <v>76</v>
      </c>
      <c r="E472" t="s">
        <v>60</v>
      </c>
      <c r="F472" t="s">
        <v>82</v>
      </c>
      <c r="G472" t="s">
        <v>43</v>
      </c>
      <c r="H472">
        <v>19</v>
      </c>
      <c r="I472">
        <v>1125.43</v>
      </c>
      <c r="J472">
        <v>0</v>
      </c>
      <c r="K472">
        <v>21383.17</v>
      </c>
      <c r="L472" t="str">
        <f t="shared" si="7"/>
        <v xml:space="preserve">No_Discount </v>
      </c>
    </row>
    <row r="473" spans="1:12" x14ac:dyDescent="0.25">
      <c r="A473" t="s">
        <v>805</v>
      </c>
      <c r="B473" s="1">
        <v>45074</v>
      </c>
      <c r="C473" t="s">
        <v>806</v>
      </c>
      <c r="D473" t="s">
        <v>35</v>
      </c>
      <c r="E473" t="s">
        <v>60</v>
      </c>
      <c r="F473" t="s">
        <v>79</v>
      </c>
      <c r="G473" t="s">
        <v>22</v>
      </c>
      <c r="H473">
        <v>34</v>
      </c>
      <c r="I473">
        <v>33.79</v>
      </c>
      <c r="J473">
        <v>0</v>
      </c>
      <c r="K473">
        <v>1148.8599999999999</v>
      </c>
      <c r="L473" t="str">
        <f t="shared" si="7"/>
        <v xml:space="preserve">No_Discount </v>
      </c>
    </row>
    <row r="474" spans="1:12" x14ac:dyDescent="0.25">
      <c r="A474" t="s">
        <v>807</v>
      </c>
      <c r="B474" s="1">
        <v>45055</v>
      </c>
      <c r="C474" t="s">
        <v>808</v>
      </c>
      <c r="D474" t="s">
        <v>25</v>
      </c>
      <c r="E474" t="s">
        <v>60</v>
      </c>
      <c r="F474" t="s">
        <v>82</v>
      </c>
      <c r="G474" t="s">
        <v>43</v>
      </c>
      <c r="H474">
        <v>17</v>
      </c>
      <c r="I474">
        <v>1360.51</v>
      </c>
      <c r="J474">
        <v>0</v>
      </c>
      <c r="K474">
        <v>23128.67</v>
      </c>
      <c r="L474" t="str">
        <f t="shared" si="7"/>
        <v xml:space="preserve">No_Discount </v>
      </c>
    </row>
    <row r="475" spans="1:12" x14ac:dyDescent="0.25">
      <c r="A475" t="s">
        <v>809</v>
      </c>
      <c r="B475" s="1">
        <v>45233</v>
      </c>
      <c r="C475" t="s">
        <v>810</v>
      </c>
      <c r="D475" t="s">
        <v>25</v>
      </c>
      <c r="E475" t="s">
        <v>36</v>
      </c>
      <c r="F475" t="s">
        <v>15</v>
      </c>
      <c r="G475" t="s">
        <v>16</v>
      </c>
      <c r="H475">
        <v>37</v>
      </c>
      <c r="I475">
        <v>108.78</v>
      </c>
      <c r="J475">
        <v>0</v>
      </c>
      <c r="K475">
        <v>4024.86</v>
      </c>
      <c r="L475" t="str">
        <f t="shared" si="7"/>
        <v xml:space="preserve">No_Discount </v>
      </c>
    </row>
    <row r="476" spans="1:12" x14ac:dyDescent="0.25">
      <c r="A476" t="s">
        <v>811</v>
      </c>
      <c r="B476" s="1">
        <v>45174</v>
      </c>
      <c r="C476" t="s">
        <v>812</v>
      </c>
      <c r="D476" t="s">
        <v>76</v>
      </c>
      <c r="E476" t="s">
        <v>36</v>
      </c>
      <c r="F476" t="s">
        <v>32</v>
      </c>
      <c r="G476" t="s">
        <v>22</v>
      </c>
      <c r="H476">
        <v>25</v>
      </c>
      <c r="I476">
        <v>45.1</v>
      </c>
      <c r="J476">
        <v>0.05</v>
      </c>
      <c r="K476">
        <v>1071.1199999999999</v>
      </c>
      <c r="L476" t="str">
        <f t="shared" si="7"/>
        <v xml:space="preserve">Low </v>
      </c>
    </row>
    <row r="477" spans="1:12" x14ac:dyDescent="0.25">
      <c r="A477" t="s">
        <v>813</v>
      </c>
      <c r="B477" s="1">
        <v>45055</v>
      </c>
      <c r="C477" t="s">
        <v>814</v>
      </c>
      <c r="D477" t="s">
        <v>31</v>
      </c>
      <c r="E477" t="s">
        <v>20</v>
      </c>
      <c r="F477" t="s">
        <v>42</v>
      </c>
      <c r="G477" t="s">
        <v>43</v>
      </c>
      <c r="H477">
        <v>9</v>
      </c>
      <c r="I477">
        <v>331.14</v>
      </c>
      <c r="J477">
        <v>0.1</v>
      </c>
      <c r="K477">
        <v>2682.23</v>
      </c>
      <c r="L477" t="str">
        <f t="shared" si="7"/>
        <v xml:space="preserve">Low </v>
      </c>
    </row>
    <row r="478" spans="1:12" x14ac:dyDescent="0.25">
      <c r="A478" t="s">
        <v>815</v>
      </c>
      <c r="B478" s="1">
        <v>44981</v>
      </c>
      <c r="C478" t="s">
        <v>666</v>
      </c>
      <c r="D478" t="s">
        <v>53</v>
      </c>
      <c r="E478" t="s">
        <v>20</v>
      </c>
      <c r="F478" t="s">
        <v>21</v>
      </c>
      <c r="G478" t="s">
        <v>22</v>
      </c>
      <c r="H478">
        <v>43</v>
      </c>
      <c r="I478">
        <v>73.790000000000006</v>
      </c>
      <c r="J478">
        <v>0.2</v>
      </c>
      <c r="K478">
        <v>2538.38</v>
      </c>
      <c r="L478" t="str">
        <f t="shared" si="7"/>
        <v xml:space="preserve">Medium </v>
      </c>
    </row>
    <row r="479" spans="1:12" x14ac:dyDescent="0.25">
      <c r="A479" t="s">
        <v>816</v>
      </c>
      <c r="B479" s="1">
        <v>45096</v>
      </c>
      <c r="C479" t="s">
        <v>311</v>
      </c>
      <c r="D479" t="s">
        <v>67</v>
      </c>
      <c r="E479" t="s">
        <v>60</v>
      </c>
      <c r="F479" t="s">
        <v>82</v>
      </c>
      <c r="G479" t="s">
        <v>43</v>
      </c>
      <c r="H479">
        <v>49</v>
      </c>
      <c r="I479">
        <v>1298.25</v>
      </c>
      <c r="J479">
        <v>0.2</v>
      </c>
      <c r="K479">
        <v>50891.4</v>
      </c>
      <c r="L479" t="str">
        <f t="shared" si="7"/>
        <v xml:space="preserve">Medium </v>
      </c>
    </row>
    <row r="480" spans="1:12" x14ac:dyDescent="0.25">
      <c r="A480" t="s">
        <v>817</v>
      </c>
      <c r="B480" s="1">
        <v>45110</v>
      </c>
      <c r="C480" t="s">
        <v>223</v>
      </c>
      <c r="D480" t="s">
        <v>25</v>
      </c>
      <c r="E480" t="s">
        <v>60</v>
      </c>
      <c r="F480" t="s">
        <v>79</v>
      </c>
      <c r="G480" t="s">
        <v>22</v>
      </c>
      <c r="H480">
        <v>18</v>
      </c>
      <c r="I480">
        <v>39.5</v>
      </c>
      <c r="J480">
        <v>0.15</v>
      </c>
      <c r="K480">
        <v>604.35</v>
      </c>
      <c r="L480" t="str">
        <f t="shared" si="7"/>
        <v xml:space="preserve">Medium </v>
      </c>
    </row>
    <row r="481" spans="1:12" x14ac:dyDescent="0.25">
      <c r="A481" t="s">
        <v>818</v>
      </c>
      <c r="B481" s="1">
        <v>45263</v>
      </c>
      <c r="C481" t="s">
        <v>271</v>
      </c>
      <c r="D481" t="s">
        <v>53</v>
      </c>
      <c r="E481" t="s">
        <v>36</v>
      </c>
      <c r="F481" t="s">
        <v>54</v>
      </c>
      <c r="G481" t="s">
        <v>55</v>
      </c>
      <c r="H481">
        <v>46</v>
      </c>
      <c r="I481">
        <v>414.21</v>
      </c>
      <c r="J481">
        <v>0.1</v>
      </c>
      <c r="K481">
        <v>17148.29</v>
      </c>
      <c r="L481" t="str">
        <f t="shared" si="7"/>
        <v xml:space="preserve">Low </v>
      </c>
    </row>
    <row r="482" spans="1:12" x14ac:dyDescent="0.25">
      <c r="A482" t="s">
        <v>819</v>
      </c>
      <c r="B482" s="1">
        <v>45003</v>
      </c>
      <c r="C482" t="s">
        <v>261</v>
      </c>
      <c r="D482" t="s">
        <v>31</v>
      </c>
      <c r="E482" t="s">
        <v>36</v>
      </c>
      <c r="F482" t="s">
        <v>54</v>
      </c>
      <c r="G482" t="s">
        <v>55</v>
      </c>
      <c r="H482">
        <v>13</v>
      </c>
      <c r="I482">
        <v>514.73</v>
      </c>
      <c r="J482">
        <v>0.15</v>
      </c>
      <c r="K482">
        <v>5687.77</v>
      </c>
      <c r="L482" t="str">
        <f t="shared" si="7"/>
        <v xml:space="preserve">Medium </v>
      </c>
    </row>
    <row r="483" spans="1:12" x14ac:dyDescent="0.25">
      <c r="A483" t="s">
        <v>820</v>
      </c>
      <c r="B483" s="1">
        <v>45204</v>
      </c>
      <c r="C483" t="s">
        <v>821</v>
      </c>
      <c r="D483" t="s">
        <v>50</v>
      </c>
      <c r="E483" t="s">
        <v>36</v>
      </c>
      <c r="F483" t="s">
        <v>21</v>
      </c>
      <c r="G483" t="s">
        <v>22</v>
      </c>
      <c r="H483">
        <v>12</v>
      </c>
      <c r="I483">
        <v>74.36</v>
      </c>
      <c r="J483">
        <v>0</v>
      </c>
      <c r="K483">
        <v>892.32</v>
      </c>
      <c r="L483" t="str">
        <f t="shared" si="7"/>
        <v xml:space="preserve">No_Discount </v>
      </c>
    </row>
    <row r="484" spans="1:12" x14ac:dyDescent="0.25">
      <c r="A484" t="s">
        <v>822</v>
      </c>
      <c r="B484" s="1">
        <v>44939</v>
      </c>
      <c r="C484" t="s">
        <v>823</v>
      </c>
      <c r="D484" t="s">
        <v>53</v>
      </c>
      <c r="E484" t="s">
        <v>36</v>
      </c>
      <c r="F484" t="s">
        <v>15</v>
      </c>
      <c r="G484" t="s">
        <v>16</v>
      </c>
      <c r="H484">
        <v>24</v>
      </c>
      <c r="I484">
        <v>86.25</v>
      </c>
      <c r="J484">
        <v>0.24</v>
      </c>
      <c r="K484">
        <v>1567.76</v>
      </c>
      <c r="L484" t="str">
        <f t="shared" si="7"/>
        <v xml:space="preserve">High </v>
      </c>
    </row>
    <row r="485" spans="1:12" x14ac:dyDescent="0.25">
      <c r="A485" t="s">
        <v>824</v>
      </c>
      <c r="B485" s="1">
        <v>45050</v>
      </c>
      <c r="C485" t="s">
        <v>503</v>
      </c>
      <c r="D485" t="s">
        <v>99</v>
      </c>
      <c r="E485" t="s">
        <v>14</v>
      </c>
      <c r="F485" t="s">
        <v>32</v>
      </c>
      <c r="G485" t="s">
        <v>22</v>
      </c>
      <c r="H485">
        <v>7</v>
      </c>
      <c r="I485">
        <v>47.4</v>
      </c>
      <c r="J485">
        <v>0.15</v>
      </c>
      <c r="K485">
        <v>282.02999999999997</v>
      </c>
      <c r="L485" t="str">
        <f t="shared" si="7"/>
        <v xml:space="preserve">Medium </v>
      </c>
    </row>
    <row r="486" spans="1:12" x14ac:dyDescent="0.25">
      <c r="A486" t="s">
        <v>825</v>
      </c>
      <c r="B486" s="1">
        <v>45272</v>
      </c>
      <c r="C486" t="s">
        <v>352</v>
      </c>
      <c r="D486" t="s">
        <v>31</v>
      </c>
      <c r="E486" t="s">
        <v>60</v>
      </c>
      <c r="F486" t="s">
        <v>54</v>
      </c>
      <c r="G486" t="s">
        <v>55</v>
      </c>
      <c r="H486">
        <v>20</v>
      </c>
      <c r="I486">
        <v>427.95</v>
      </c>
      <c r="J486">
        <v>0.2</v>
      </c>
      <c r="K486">
        <v>6847.2</v>
      </c>
      <c r="L486" t="str">
        <f t="shared" si="7"/>
        <v xml:space="preserve">Medium </v>
      </c>
    </row>
    <row r="487" spans="1:12" x14ac:dyDescent="0.25">
      <c r="A487" t="s">
        <v>826</v>
      </c>
      <c r="B487" s="1">
        <v>45176</v>
      </c>
      <c r="C487" t="s">
        <v>123</v>
      </c>
      <c r="D487" t="s">
        <v>76</v>
      </c>
      <c r="E487" t="s">
        <v>36</v>
      </c>
      <c r="F487" t="s">
        <v>82</v>
      </c>
      <c r="G487" t="s">
        <v>43</v>
      </c>
      <c r="H487">
        <v>34</v>
      </c>
      <c r="I487">
        <v>1152.78</v>
      </c>
      <c r="J487">
        <v>0</v>
      </c>
      <c r="K487">
        <v>39194.519999999997</v>
      </c>
      <c r="L487" t="str">
        <f t="shared" si="7"/>
        <v xml:space="preserve">No_Discount </v>
      </c>
    </row>
    <row r="488" spans="1:12" x14ac:dyDescent="0.25">
      <c r="A488" t="s">
        <v>827</v>
      </c>
      <c r="B488" s="1">
        <v>45232</v>
      </c>
      <c r="C488" t="s">
        <v>459</v>
      </c>
      <c r="D488" t="s">
        <v>25</v>
      </c>
      <c r="E488" t="s">
        <v>14</v>
      </c>
      <c r="F488" t="s">
        <v>32</v>
      </c>
      <c r="G488" t="s">
        <v>22</v>
      </c>
      <c r="H488">
        <v>36</v>
      </c>
      <c r="I488">
        <v>48.99</v>
      </c>
      <c r="J488">
        <v>0.15</v>
      </c>
      <c r="K488">
        <v>1499.09</v>
      </c>
      <c r="L488" t="str">
        <f t="shared" si="7"/>
        <v xml:space="preserve">Medium </v>
      </c>
    </row>
    <row r="489" spans="1:12" x14ac:dyDescent="0.25">
      <c r="A489" t="s">
        <v>828</v>
      </c>
      <c r="B489" s="1">
        <v>45161</v>
      </c>
      <c r="C489" t="s">
        <v>479</v>
      </c>
      <c r="D489" t="s">
        <v>19</v>
      </c>
      <c r="E489" t="s">
        <v>26</v>
      </c>
      <c r="F489" t="s">
        <v>42</v>
      </c>
      <c r="G489" t="s">
        <v>43</v>
      </c>
      <c r="H489">
        <v>16</v>
      </c>
      <c r="I489">
        <v>365.78</v>
      </c>
      <c r="J489">
        <v>0</v>
      </c>
      <c r="K489">
        <v>5852.48</v>
      </c>
      <c r="L489" t="str">
        <f t="shared" si="7"/>
        <v xml:space="preserve">No_Discount </v>
      </c>
    </row>
    <row r="490" spans="1:12" x14ac:dyDescent="0.25">
      <c r="A490" t="s">
        <v>829</v>
      </c>
      <c r="B490" s="1">
        <v>45257</v>
      </c>
      <c r="C490" t="s">
        <v>281</v>
      </c>
      <c r="D490" t="s">
        <v>53</v>
      </c>
      <c r="E490" t="s">
        <v>20</v>
      </c>
      <c r="F490" t="s">
        <v>21</v>
      </c>
      <c r="G490" t="s">
        <v>22</v>
      </c>
      <c r="H490">
        <v>11</v>
      </c>
      <c r="I490">
        <v>83.04</v>
      </c>
      <c r="J490">
        <v>0.05</v>
      </c>
      <c r="K490">
        <v>867.77</v>
      </c>
      <c r="L490" t="str">
        <f t="shared" si="7"/>
        <v xml:space="preserve">Low </v>
      </c>
    </row>
    <row r="491" spans="1:12" x14ac:dyDescent="0.25">
      <c r="A491" t="s">
        <v>103</v>
      </c>
      <c r="B491" s="1">
        <v>45000</v>
      </c>
      <c r="C491" t="s">
        <v>104</v>
      </c>
      <c r="D491" t="s">
        <v>67</v>
      </c>
      <c r="E491" t="s">
        <v>26</v>
      </c>
      <c r="F491" t="s">
        <v>82</v>
      </c>
      <c r="G491" t="s">
        <v>43</v>
      </c>
      <c r="H491">
        <v>9</v>
      </c>
      <c r="I491">
        <v>1121.1099999999999</v>
      </c>
      <c r="J491">
        <v>-0.28999999999999998</v>
      </c>
      <c r="K491">
        <v>12985.82</v>
      </c>
      <c r="L491" t="str">
        <f t="shared" si="7"/>
        <v xml:space="preserve">Low </v>
      </c>
    </row>
    <row r="492" spans="1:12" x14ac:dyDescent="0.25">
      <c r="A492" t="s">
        <v>830</v>
      </c>
      <c r="B492" s="1">
        <v>45152</v>
      </c>
      <c r="C492" t="s">
        <v>831</v>
      </c>
      <c r="D492" t="s">
        <v>39</v>
      </c>
      <c r="E492" t="s">
        <v>36</v>
      </c>
      <c r="F492" t="s">
        <v>42</v>
      </c>
      <c r="G492" t="s">
        <v>43</v>
      </c>
      <c r="H492">
        <v>31</v>
      </c>
      <c r="I492">
        <v>317.86</v>
      </c>
      <c r="J492">
        <v>0</v>
      </c>
      <c r="K492">
        <v>9853.66</v>
      </c>
      <c r="L492" t="str">
        <f t="shared" si="7"/>
        <v xml:space="preserve">No_Discount </v>
      </c>
    </row>
    <row r="493" spans="1:12" x14ac:dyDescent="0.25">
      <c r="A493" t="s">
        <v>832</v>
      </c>
      <c r="B493" s="1">
        <v>45013</v>
      </c>
      <c r="C493" t="s">
        <v>690</v>
      </c>
      <c r="D493" t="s">
        <v>99</v>
      </c>
      <c r="E493" t="s">
        <v>36</v>
      </c>
      <c r="F493" t="s">
        <v>32</v>
      </c>
      <c r="G493" t="s">
        <v>22</v>
      </c>
      <c r="H493">
        <v>6</v>
      </c>
      <c r="I493">
        <v>42.04</v>
      </c>
      <c r="J493">
        <v>0.2</v>
      </c>
      <c r="K493">
        <v>201.79</v>
      </c>
      <c r="L493" t="str">
        <f t="shared" si="7"/>
        <v xml:space="preserve">Medium </v>
      </c>
    </row>
    <row r="494" spans="1:12" x14ac:dyDescent="0.25">
      <c r="A494" t="s">
        <v>833</v>
      </c>
      <c r="B494" s="1">
        <v>45125</v>
      </c>
      <c r="C494" t="s">
        <v>834</v>
      </c>
      <c r="D494" t="s">
        <v>31</v>
      </c>
      <c r="E494" t="s">
        <v>14</v>
      </c>
      <c r="F494" t="s">
        <v>42</v>
      </c>
      <c r="G494" t="s">
        <v>43</v>
      </c>
      <c r="H494">
        <v>9</v>
      </c>
      <c r="I494">
        <v>325.88</v>
      </c>
      <c r="J494">
        <v>-0.35</v>
      </c>
      <c r="K494">
        <v>3966.43</v>
      </c>
      <c r="L494" t="str">
        <f t="shared" si="7"/>
        <v xml:space="preserve">Low </v>
      </c>
    </row>
    <row r="495" spans="1:12" x14ac:dyDescent="0.25">
      <c r="A495" t="s">
        <v>835</v>
      </c>
      <c r="B495" s="1">
        <v>45251</v>
      </c>
      <c r="C495" t="s">
        <v>836</v>
      </c>
      <c r="D495" t="s">
        <v>35</v>
      </c>
      <c r="E495" t="s">
        <v>60</v>
      </c>
      <c r="F495" t="s">
        <v>42</v>
      </c>
      <c r="G495" t="s">
        <v>43</v>
      </c>
      <c r="H495">
        <v>3</v>
      </c>
      <c r="I495">
        <v>325.44</v>
      </c>
      <c r="J495">
        <v>0</v>
      </c>
      <c r="K495">
        <v>976.32</v>
      </c>
      <c r="L495" t="str">
        <f t="shared" si="7"/>
        <v xml:space="preserve">No_Discount </v>
      </c>
    </row>
    <row r="496" spans="1:12" x14ac:dyDescent="0.25">
      <c r="A496" t="s">
        <v>837</v>
      </c>
      <c r="B496" s="1">
        <v>45149</v>
      </c>
      <c r="C496" t="s">
        <v>838</v>
      </c>
      <c r="D496" t="s">
        <v>76</v>
      </c>
      <c r="E496" t="s">
        <v>60</v>
      </c>
      <c r="F496" t="s">
        <v>32</v>
      </c>
      <c r="G496" t="s">
        <v>22</v>
      </c>
      <c r="H496">
        <v>40</v>
      </c>
      <c r="I496">
        <v>45.35</v>
      </c>
      <c r="J496">
        <v>0.15</v>
      </c>
      <c r="K496">
        <v>1541.9</v>
      </c>
      <c r="L496" t="str">
        <f t="shared" si="7"/>
        <v xml:space="preserve">Medium </v>
      </c>
    </row>
    <row r="497" spans="1:12" x14ac:dyDescent="0.25">
      <c r="A497" t="s">
        <v>839</v>
      </c>
      <c r="B497" s="1">
        <v>45230</v>
      </c>
      <c r="C497" t="s">
        <v>371</v>
      </c>
      <c r="D497" t="s">
        <v>53</v>
      </c>
      <c r="E497" t="s">
        <v>20</v>
      </c>
      <c r="F497" t="s">
        <v>42</v>
      </c>
      <c r="G497" t="s">
        <v>43</v>
      </c>
      <c r="H497">
        <v>5</v>
      </c>
      <c r="I497">
        <v>346.52</v>
      </c>
      <c r="J497">
        <v>0</v>
      </c>
      <c r="K497">
        <v>1732.6</v>
      </c>
      <c r="L497" t="str">
        <f t="shared" si="7"/>
        <v xml:space="preserve">No_Discount </v>
      </c>
    </row>
    <row r="498" spans="1:12" x14ac:dyDescent="0.25">
      <c r="A498" t="s">
        <v>840</v>
      </c>
      <c r="B498" s="1">
        <v>45191</v>
      </c>
      <c r="C498" t="s">
        <v>841</v>
      </c>
      <c r="D498" t="s">
        <v>99</v>
      </c>
      <c r="E498" t="s">
        <v>26</v>
      </c>
      <c r="F498" t="s">
        <v>54</v>
      </c>
      <c r="G498" t="s">
        <v>55</v>
      </c>
      <c r="H498">
        <v>46</v>
      </c>
      <c r="I498">
        <v>417.7</v>
      </c>
      <c r="J498">
        <v>0</v>
      </c>
      <c r="K498">
        <v>19214.2</v>
      </c>
      <c r="L498" t="str">
        <f t="shared" si="7"/>
        <v xml:space="preserve">No_Discount </v>
      </c>
    </row>
    <row r="499" spans="1:12" x14ac:dyDescent="0.25">
      <c r="A499" t="s">
        <v>842</v>
      </c>
      <c r="B499" s="1">
        <v>45080</v>
      </c>
      <c r="C499" t="s">
        <v>254</v>
      </c>
      <c r="D499" t="s">
        <v>53</v>
      </c>
      <c r="E499" t="s">
        <v>26</v>
      </c>
      <c r="F499" t="s">
        <v>42</v>
      </c>
      <c r="G499" t="s">
        <v>43</v>
      </c>
      <c r="H499">
        <v>31</v>
      </c>
      <c r="I499">
        <v>336.5</v>
      </c>
      <c r="J499">
        <v>0.05</v>
      </c>
      <c r="K499">
        <v>9909.92</v>
      </c>
      <c r="L499" t="str">
        <f t="shared" si="7"/>
        <v xml:space="preserve">Low </v>
      </c>
    </row>
    <row r="500" spans="1:12" x14ac:dyDescent="0.25">
      <c r="A500" t="s">
        <v>843</v>
      </c>
      <c r="B500" s="1">
        <v>44991</v>
      </c>
      <c r="C500" t="s">
        <v>686</v>
      </c>
      <c r="D500" t="s">
        <v>76</v>
      </c>
      <c r="E500" t="s">
        <v>14</v>
      </c>
      <c r="F500" t="s">
        <v>15</v>
      </c>
      <c r="G500" t="s">
        <v>16</v>
      </c>
      <c r="H500">
        <v>9</v>
      </c>
      <c r="I500">
        <v>92.93</v>
      </c>
      <c r="J500">
        <v>0.1</v>
      </c>
      <c r="K500">
        <v>752.73</v>
      </c>
      <c r="L500" t="str">
        <f t="shared" si="7"/>
        <v xml:space="preserve">Low </v>
      </c>
    </row>
    <row r="501" spans="1:12" x14ac:dyDescent="0.25">
      <c r="A501" t="s">
        <v>844</v>
      </c>
      <c r="B501" s="1">
        <v>45107</v>
      </c>
      <c r="C501" t="s">
        <v>627</v>
      </c>
      <c r="D501" t="s">
        <v>25</v>
      </c>
      <c r="E501" t="s">
        <v>36</v>
      </c>
      <c r="F501" t="s">
        <v>79</v>
      </c>
      <c r="G501" t="s">
        <v>22</v>
      </c>
      <c r="H501">
        <v>46</v>
      </c>
      <c r="I501">
        <v>36.42</v>
      </c>
      <c r="J501">
        <v>0.15</v>
      </c>
      <c r="K501">
        <v>1424.02</v>
      </c>
      <c r="L501" t="str">
        <f t="shared" si="7"/>
        <v xml:space="preserve">Medium </v>
      </c>
    </row>
    <row r="502" spans="1:12" x14ac:dyDescent="0.25">
      <c r="A502" t="s">
        <v>845</v>
      </c>
      <c r="B502" s="1">
        <v>45247</v>
      </c>
      <c r="C502" t="s">
        <v>690</v>
      </c>
      <c r="D502" t="s">
        <v>25</v>
      </c>
      <c r="E502" t="s">
        <v>26</v>
      </c>
      <c r="F502" t="s">
        <v>15</v>
      </c>
      <c r="G502" t="s">
        <v>16</v>
      </c>
      <c r="H502">
        <v>2</v>
      </c>
      <c r="I502">
        <v>96.84</v>
      </c>
      <c r="J502">
        <v>0</v>
      </c>
      <c r="K502">
        <v>193.68</v>
      </c>
      <c r="L502" t="str">
        <f t="shared" si="7"/>
        <v xml:space="preserve">No_Discount </v>
      </c>
    </row>
    <row r="503" spans="1:12" x14ac:dyDescent="0.25">
      <c r="A503" t="s">
        <v>846</v>
      </c>
      <c r="B503" s="1">
        <v>45008</v>
      </c>
      <c r="C503" t="s">
        <v>96</v>
      </c>
      <c r="D503" t="s">
        <v>35</v>
      </c>
      <c r="E503" t="s">
        <v>60</v>
      </c>
      <c r="F503" t="s">
        <v>42</v>
      </c>
      <c r="G503" t="s">
        <v>43</v>
      </c>
      <c r="H503">
        <v>40</v>
      </c>
      <c r="I503">
        <v>349.28</v>
      </c>
      <c r="J503">
        <v>0</v>
      </c>
      <c r="K503">
        <v>13971.2</v>
      </c>
      <c r="L503" t="str">
        <f t="shared" si="7"/>
        <v xml:space="preserve">No_Discount </v>
      </c>
    </row>
    <row r="504" spans="1:12" x14ac:dyDescent="0.25">
      <c r="A504" t="s">
        <v>847</v>
      </c>
      <c r="B504" s="1">
        <v>45043</v>
      </c>
      <c r="C504" t="s">
        <v>650</v>
      </c>
      <c r="D504" t="s">
        <v>50</v>
      </c>
      <c r="E504" t="s">
        <v>36</v>
      </c>
      <c r="F504" t="s">
        <v>82</v>
      </c>
      <c r="G504" t="s">
        <v>43</v>
      </c>
      <c r="H504">
        <v>2</v>
      </c>
      <c r="I504">
        <v>1265.92</v>
      </c>
      <c r="J504">
        <v>0</v>
      </c>
      <c r="K504">
        <v>2531.84</v>
      </c>
      <c r="L504" t="str">
        <f t="shared" si="7"/>
        <v xml:space="preserve">No_Discount </v>
      </c>
    </row>
    <row r="505" spans="1:12" x14ac:dyDescent="0.25">
      <c r="A505" t="s">
        <v>848</v>
      </c>
      <c r="B505" s="1">
        <v>44970</v>
      </c>
      <c r="C505" t="s">
        <v>849</v>
      </c>
      <c r="D505" t="s">
        <v>50</v>
      </c>
      <c r="E505" t="s">
        <v>20</v>
      </c>
      <c r="F505" t="s">
        <v>32</v>
      </c>
      <c r="G505" t="s">
        <v>22</v>
      </c>
      <c r="H505">
        <v>9</v>
      </c>
      <c r="I505">
        <v>41.54</v>
      </c>
      <c r="J505">
        <v>0.05</v>
      </c>
      <c r="K505">
        <v>355.17</v>
      </c>
      <c r="L505" t="str">
        <f t="shared" si="7"/>
        <v xml:space="preserve">Low </v>
      </c>
    </row>
    <row r="506" spans="1:12" x14ac:dyDescent="0.25">
      <c r="A506" t="s">
        <v>850</v>
      </c>
      <c r="B506" s="1">
        <v>45172</v>
      </c>
      <c r="C506" t="s">
        <v>851</v>
      </c>
      <c r="D506" t="s">
        <v>76</v>
      </c>
      <c r="E506" t="s">
        <v>20</v>
      </c>
      <c r="F506" t="s">
        <v>21</v>
      </c>
      <c r="G506" t="s">
        <v>22</v>
      </c>
      <c r="H506">
        <v>41</v>
      </c>
      <c r="I506">
        <v>91.66</v>
      </c>
      <c r="J506">
        <v>0.2</v>
      </c>
      <c r="K506">
        <v>3006.45</v>
      </c>
      <c r="L506" t="str">
        <f t="shared" si="7"/>
        <v xml:space="preserve">Medium </v>
      </c>
    </row>
    <row r="507" spans="1:12" x14ac:dyDescent="0.25">
      <c r="A507" t="s">
        <v>852</v>
      </c>
      <c r="B507" s="1">
        <v>45227</v>
      </c>
      <c r="C507" t="s">
        <v>41</v>
      </c>
      <c r="D507" t="s">
        <v>39</v>
      </c>
      <c r="E507" t="s">
        <v>26</v>
      </c>
      <c r="F507" t="s">
        <v>15</v>
      </c>
      <c r="G507" t="s">
        <v>16</v>
      </c>
      <c r="H507">
        <v>39</v>
      </c>
      <c r="I507">
        <v>86.58</v>
      </c>
      <c r="J507">
        <v>0</v>
      </c>
      <c r="K507">
        <v>3376.62</v>
      </c>
      <c r="L507" t="str">
        <f t="shared" si="7"/>
        <v xml:space="preserve">No_Discount </v>
      </c>
    </row>
    <row r="508" spans="1:12" x14ac:dyDescent="0.25">
      <c r="A508" t="s">
        <v>773</v>
      </c>
      <c r="B508" s="1">
        <v>45287</v>
      </c>
      <c r="C508" t="s">
        <v>774</v>
      </c>
      <c r="D508" t="s">
        <v>53</v>
      </c>
      <c r="E508" t="s">
        <v>60</v>
      </c>
      <c r="F508" t="s">
        <v>54</v>
      </c>
      <c r="G508" t="s">
        <v>55</v>
      </c>
      <c r="H508">
        <v>45</v>
      </c>
      <c r="I508">
        <v>429.87</v>
      </c>
      <c r="J508">
        <v>0.2</v>
      </c>
      <c r="K508">
        <v>15475.32</v>
      </c>
      <c r="L508" t="str">
        <f t="shared" si="7"/>
        <v xml:space="preserve">Medium </v>
      </c>
    </row>
    <row r="509" spans="1:12" x14ac:dyDescent="0.25">
      <c r="A509" t="s">
        <v>853</v>
      </c>
      <c r="B509" s="1">
        <v>44968</v>
      </c>
      <c r="C509" t="s">
        <v>320</v>
      </c>
      <c r="D509" t="s">
        <v>50</v>
      </c>
      <c r="E509" t="s">
        <v>20</v>
      </c>
      <c r="F509" t="s">
        <v>21</v>
      </c>
      <c r="G509" t="s">
        <v>22</v>
      </c>
      <c r="H509">
        <v>25</v>
      </c>
      <c r="I509">
        <v>81.97</v>
      </c>
      <c r="J509">
        <v>0</v>
      </c>
      <c r="K509">
        <v>2049.25</v>
      </c>
      <c r="L509" t="str">
        <f t="shared" si="7"/>
        <v xml:space="preserve">No_Discount </v>
      </c>
    </row>
    <row r="510" spans="1:12" x14ac:dyDescent="0.25">
      <c r="A510" t="s">
        <v>854</v>
      </c>
      <c r="B510" s="1">
        <v>45097</v>
      </c>
      <c r="C510" t="s">
        <v>145</v>
      </c>
      <c r="D510" t="s">
        <v>19</v>
      </c>
      <c r="E510" t="s">
        <v>36</v>
      </c>
      <c r="F510" t="s">
        <v>32</v>
      </c>
      <c r="G510" t="s">
        <v>22</v>
      </c>
      <c r="H510">
        <v>48</v>
      </c>
      <c r="I510">
        <v>50.77</v>
      </c>
      <c r="J510">
        <v>0.15</v>
      </c>
      <c r="K510">
        <v>2071.42</v>
      </c>
      <c r="L510" t="str">
        <f t="shared" si="7"/>
        <v xml:space="preserve">Medium </v>
      </c>
    </row>
    <row r="511" spans="1:12" x14ac:dyDescent="0.25">
      <c r="A511" t="s">
        <v>855</v>
      </c>
      <c r="B511" s="1">
        <v>45012</v>
      </c>
      <c r="C511" t="s">
        <v>206</v>
      </c>
      <c r="D511" t="s">
        <v>53</v>
      </c>
      <c r="E511" t="s">
        <v>60</v>
      </c>
      <c r="F511" t="s">
        <v>54</v>
      </c>
      <c r="G511" t="s">
        <v>55</v>
      </c>
      <c r="H511">
        <v>36</v>
      </c>
      <c r="I511">
        <v>451.5</v>
      </c>
      <c r="J511">
        <v>0.1</v>
      </c>
      <c r="K511">
        <v>14628.6</v>
      </c>
      <c r="L511" t="str">
        <f t="shared" si="7"/>
        <v xml:space="preserve">Low </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A8FB4-5D85-4D1A-BF04-7D070DA7290D}">
  <dimension ref="A2:D65"/>
  <sheetViews>
    <sheetView zoomScaleNormal="100" workbookViewId="0">
      <selection activeCell="C54" sqref="C54"/>
    </sheetView>
  </sheetViews>
  <sheetFormatPr defaultRowHeight="15" x14ac:dyDescent="0.25"/>
  <cols>
    <col min="1" max="1" width="11.28515625" bestFit="1" customWidth="1"/>
    <col min="2" max="2" width="13.85546875" bestFit="1" customWidth="1"/>
    <col min="3" max="3" width="17.28515625" bestFit="1" customWidth="1"/>
    <col min="4" max="4" width="13.85546875" bestFit="1" customWidth="1"/>
    <col min="5" max="5" width="15.5703125" bestFit="1" customWidth="1"/>
    <col min="6" max="6" width="17.28515625" bestFit="1" customWidth="1"/>
    <col min="7" max="7" width="15.5703125" bestFit="1" customWidth="1"/>
    <col min="8" max="8" width="17.28515625" bestFit="1" customWidth="1"/>
    <col min="9" max="9" width="15.5703125" bestFit="1" customWidth="1"/>
    <col min="10" max="10" width="17.28515625" bestFit="1" customWidth="1"/>
    <col min="11" max="11" width="15.5703125" bestFit="1" customWidth="1"/>
    <col min="12" max="12" width="17.28515625" bestFit="1" customWidth="1"/>
    <col min="13" max="13" width="15.5703125" bestFit="1" customWidth="1"/>
    <col min="14" max="14" width="17.28515625" bestFit="1" customWidth="1"/>
    <col min="15" max="15" width="15.5703125" bestFit="1" customWidth="1"/>
    <col min="16" max="16" width="17.28515625" bestFit="1" customWidth="1"/>
    <col min="17" max="17" width="15.5703125" bestFit="1" customWidth="1"/>
    <col min="18" max="18" width="22.28515625" bestFit="1" customWidth="1"/>
    <col min="19" max="19" width="20.5703125" bestFit="1" customWidth="1"/>
  </cols>
  <sheetData>
    <row r="2" spans="1:2" x14ac:dyDescent="0.25">
      <c r="A2" t="s">
        <v>872</v>
      </c>
    </row>
    <row r="3" spans="1:2" x14ac:dyDescent="0.25">
      <c r="A3" s="2" t="s">
        <v>857</v>
      </c>
      <c r="B3" t="s">
        <v>887</v>
      </c>
    </row>
    <row r="4" spans="1:2" x14ac:dyDescent="0.25">
      <c r="A4" s="3" t="s">
        <v>42</v>
      </c>
      <c r="B4" s="4">
        <v>578615.14</v>
      </c>
    </row>
    <row r="5" spans="1:2" x14ac:dyDescent="0.25">
      <c r="A5" s="3" t="s">
        <v>27</v>
      </c>
      <c r="B5" s="4">
        <v>206280.89000000004</v>
      </c>
    </row>
    <row r="6" spans="1:2" x14ac:dyDescent="0.25">
      <c r="A6" s="3" t="s">
        <v>21</v>
      </c>
      <c r="B6" s="4">
        <v>113234.69000000002</v>
      </c>
    </row>
    <row r="7" spans="1:2" x14ac:dyDescent="0.25">
      <c r="A7" s="3" t="s">
        <v>82</v>
      </c>
      <c r="B7" s="4">
        <v>1496037.4899999995</v>
      </c>
    </row>
    <row r="8" spans="1:2" x14ac:dyDescent="0.25">
      <c r="A8" s="3" t="s">
        <v>54</v>
      </c>
      <c r="B8" s="4">
        <v>753170.2</v>
      </c>
    </row>
    <row r="9" spans="1:2" x14ac:dyDescent="0.25">
      <c r="A9" s="3" t="s">
        <v>32</v>
      </c>
      <c r="B9" s="4">
        <v>85926.089999999953</v>
      </c>
    </row>
    <row r="10" spans="1:2" x14ac:dyDescent="0.25">
      <c r="A10" s="3" t="s">
        <v>79</v>
      </c>
      <c r="B10" s="4">
        <v>46507.629999999983</v>
      </c>
    </row>
    <row r="11" spans="1:2" x14ac:dyDescent="0.25">
      <c r="A11" s="3" t="s">
        <v>15</v>
      </c>
      <c r="B11" s="4">
        <v>137845.69</v>
      </c>
    </row>
    <row r="12" spans="1:2" x14ac:dyDescent="0.25">
      <c r="A12" s="3" t="s">
        <v>856</v>
      </c>
      <c r="B12" s="4">
        <v>3417617.8199999989</v>
      </c>
    </row>
    <row r="15" spans="1:2" x14ac:dyDescent="0.25">
      <c r="A15" s="3" t="s">
        <v>873</v>
      </c>
    </row>
    <row r="16" spans="1:2" x14ac:dyDescent="0.25">
      <c r="A16" s="2" t="s">
        <v>858</v>
      </c>
      <c r="B16" t="s">
        <v>884</v>
      </c>
    </row>
    <row r="17" spans="1:2" x14ac:dyDescent="0.25">
      <c r="A17" s="3" t="s">
        <v>36</v>
      </c>
      <c r="B17" s="4">
        <v>740438.2300000001</v>
      </c>
    </row>
    <row r="18" spans="1:2" x14ac:dyDescent="0.25">
      <c r="A18" s="3" t="s">
        <v>20</v>
      </c>
      <c r="B18" s="4">
        <v>713262.04000000015</v>
      </c>
    </row>
    <row r="19" spans="1:2" x14ac:dyDescent="0.25">
      <c r="A19" s="3" t="s">
        <v>60</v>
      </c>
      <c r="B19" s="4">
        <v>709185.07999999984</v>
      </c>
    </row>
    <row r="20" spans="1:2" x14ac:dyDescent="0.25">
      <c r="A20" s="3" t="s">
        <v>26</v>
      </c>
      <c r="B20" s="4">
        <v>685271.49000000011</v>
      </c>
    </row>
    <row r="21" spans="1:2" x14ac:dyDescent="0.25">
      <c r="A21" s="3" t="s">
        <v>14</v>
      </c>
      <c r="B21" s="4">
        <v>569460.98</v>
      </c>
    </row>
    <row r="22" spans="1:2" x14ac:dyDescent="0.25">
      <c r="A22" s="3" t="s">
        <v>856</v>
      </c>
      <c r="B22">
        <v>3417617.8200000003</v>
      </c>
    </row>
    <row r="35" spans="1:2" x14ac:dyDescent="0.25">
      <c r="A35" s="2" t="s">
        <v>880</v>
      </c>
      <c r="B35" t="s">
        <v>884</v>
      </c>
    </row>
    <row r="36" spans="1:2" x14ac:dyDescent="0.25">
      <c r="A36" s="3" t="s">
        <v>859</v>
      </c>
      <c r="B36" s="4">
        <v>148609.85999999999</v>
      </c>
    </row>
    <row r="37" spans="1:2" x14ac:dyDescent="0.25">
      <c r="A37" s="3" t="s">
        <v>860</v>
      </c>
      <c r="B37" s="4">
        <v>335436.04999999993</v>
      </c>
    </row>
    <row r="38" spans="1:2" x14ac:dyDescent="0.25">
      <c r="A38" s="3" t="s">
        <v>861</v>
      </c>
      <c r="B38" s="4">
        <v>261066.03000000009</v>
      </c>
    </row>
    <row r="39" spans="1:2" x14ac:dyDescent="0.25">
      <c r="A39" s="3" t="s">
        <v>862</v>
      </c>
      <c r="B39" s="4">
        <v>192337.11000000004</v>
      </c>
    </row>
    <row r="40" spans="1:2" x14ac:dyDescent="0.25">
      <c r="A40" s="3" t="s">
        <v>863</v>
      </c>
      <c r="B40" s="4">
        <v>265479.27</v>
      </c>
    </row>
    <row r="41" spans="1:2" x14ac:dyDescent="0.25">
      <c r="A41" s="3" t="s">
        <v>864</v>
      </c>
      <c r="B41" s="4">
        <v>295716.92000000004</v>
      </c>
    </row>
    <row r="42" spans="1:2" x14ac:dyDescent="0.25">
      <c r="A42" s="3" t="s">
        <v>865</v>
      </c>
      <c r="B42" s="4">
        <v>423279.51000000007</v>
      </c>
    </row>
    <row r="43" spans="1:2" x14ac:dyDescent="0.25">
      <c r="A43" s="3" t="s">
        <v>866</v>
      </c>
      <c r="B43" s="4">
        <v>330334.06</v>
      </c>
    </row>
    <row r="44" spans="1:2" x14ac:dyDescent="0.25">
      <c r="A44" s="3" t="s">
        <v>867</v>
      </c>
      <c r="B44" s="4">
        <v>293885.28999999998</v>
      </c>
    </row>
    <row r="45" spans="1:2" x14ac:dyDescent="0.25">
      <c r="A45" s="3" t="s">
        <v>868</v>
      </c>
      <c r="B45" s="4">
        <v>315031.9599999999</v>
      </c>
    </row>
    <row r="46" spans="1:2" x14ac:dyDescent="0.25">
      <c r="A46" s="3" t="s">
        <v>869</v>
      </c>
      <c r="B46" s="4">
        <v>271863.83000000007</v>
      </c>
    </row>
    <row r="47" spans="1:2" x14ac:dyDescent="0.25">
      <c r="A47" s="3" t="s">
        <v>870</v>
      </c>
      <c r="B47" s="4">
        <v>284577.92999999993</v>
      </c>
    </row>
    <row r="48" spans="1:2" x14ac:dyDescent="0.25">
      <c r="A48" s="3" t="s">
        <v>856</v>
      </c>
      <c r="B48" s="4">
        <v>3417617.8200000003</v>
      </c>
    </row>
    <row r="52" spans="1:4" x14ac:dyDescent="0.25">
      <c r="A52" t="s">
        <v>881</v>
      </c>
    </row>
    <row r="53" spans="1:4" x14ac:dyDescent="0.25">
      <c r="A53" s="2" t="s">
        <v>3</v>
      </c>
      <c r="B53" t="s">
        <v>878</v>
      </c>
      <c r="C53" t="s">
        <v>882</v>
      </c>
      <c r="D53" t="s">
        <v>884</v>
      </c>
    </row>
    <row r="54" spans="1:4" x14ac:dyDescent="0.25">
      <c r="A54" s="3" t="s">
        <v>76</v>
      </c>
      <c r="B54" s="4">
        <v>7356.7906153846143</v>
      </c>
      <c r="C54">
        <v>65</v>
      </c>
      <c r="D54" s="4">
        <v>478191.38999999996</v>
      </c>
    </row>
    <row r="55" spans="1:4" x14ac:dyDescent="0.25">
      <c r="A55" s="3" t="s">
        <v>50</v>
      </c>
      <c r="B55" s="4">
        <v>7619.724166666666</v>
      </c>
      <c r="C55">
        <v>60</v>
      </c>
      <c r="D55" s="4">
        <v>457183.44999999995</v>
      </c>
    </row>
    <row r="56" spans="1:4" x14ac:dyDescent="0.25">
      <c r="A56" s="3" t="s">
        <v>25</v>
      </c>
      <c r="B56" s="4">
        <v>7408.0291836734696</v>
      </c>
      <c r="C56">
        <v>49</v>
      </c>
      <c r="D56" s="4">
        <v>362993.43</v>
      </c>
    </row>
    <row r="57" spans="1:4" x14ac:dyDescent="0.25">
      <c r="A57" s="3" t="s">
        <v>39</v>
      </c>
      <c r="B57" s="4">
        <v>6086.7587499999991</v>
      </c>
      <c r="C57">
        <v>56</v>
      </c>
      <c r="D57" s="4">
        <v>340858.48999999993</v>
      </c>
    </row>
    <row r="58" spans="1:4" x14ac:dyDescent="0.25">
      <c r="A58" s="3" t="s">
        <v>35</v>
      </c>
      <c r="B58" s="4">
        <v>7404.5662222222218</v>
      </c>
      <c r="C58">
        <v>45</v>
      </c>
      <c r="D58" s="4">
        <v>333205.48</v>
      </c>
    </row>
    <row r="59" spans="1:4" x14ac:dyDescent="0.25">
      <c r="A59" s="3" t="s">
        <v>99</v>
      </c>
      <c r="B59" s="4">
        <v>7163.8053658536592</v>
      </c>
      <c r="C59">
        <v>41</v>
      </c>
      <c r="D59" s="4">
        <v>293716.02</v>
      </c>
    </row>
    <row r="60" spans="1:4" x14ac:dyDescent="0.25">
      <c r="A60" s="3" t="s">
        <v>31</v>
      </c>
      <c r="B60" s="4">
        <v>6250.6393333333335</v>
      </c>
      <c r="C60">
        <v>45</v>
      </c>
      <c r="D60" s="4">
        <v>281278.77</v>
      </c>
    </row>
    <row r="61" spans="1:4" x14ac:dyDescent="0.25">
      <c r="A61" s="3" t="s">
        <v>19</v>
      </c>
      <c r="B61" s="4">
        <v>5961.9823404255312</v>
      </c>
      <c r="C61">
        <v>47</v>
      </c>
      <c r="D61" s="4">
        <v>280213.17</v>
      </c>
    </row>
    <row r="62" spans="1:4" x14ac:dyDescent="0.25">
      <c r="A62" s="3" t="s">
        <v>53</v>
      </c>
      <c r="B62" s="4">
        <v>5268.9077551020418</v>
      </c>
      <c r="C62">
        <v>49</v>
      </c>
      <c r="D62" s="4">
        <v>258176.48000000004</v>
      </c>
    </row>
    <row r="63" spans="1:4" x14ac:dyDescent="0.25">
      <c r="A63" s="3" t="s">
        <v>67</v>
      </c>
      <c r="B63" s="4">
        <v>6502.7363157894742</v>
      </c>
      <c r="C63">
        <v>38</v>
      </c>
      <c r="D63" s="4">
        <v>247103.98</v>
      </c>
    </row>
    <row r="64" spans="1:4" x14ac:dyDescent="0.25">
      <c r="A64" s="3" t="s">
        <v>13</v>
      </c>
      <c r="B64" s="4">
        <v>5646.4773333333333</v>
      </c>
      <c r="C64">
        <v>15</v>
      </c>
      <c r="D64" s="4">
        <v>84697.16</v>
      </c>
    </row>
    <row r="65" spans="1:4" x14ac:dyDescent="0.25">
      <c r="A65" s="3" t="s">
        <v>856</v>
      </c>
      <c r="B65" s="4">
        <v>6701.2114117647061</v>
      </c>
      <c r="C65">
        <v>510</v>
      </c>
      <c r="D65" s="4">
        <v>3417617.8200000003</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2D9C8-71E3-4860-BB99-023615734977}">
  <dimension ref="A2:J59"/>
  <sheetViews>
    <sheetView topLeftCell="A33" workbookViewId="0">
      <selection activeCell="I5" sqref="I5"/>
    </sheetView>
  </sheetViews>
  <sheetFormatPr defaultRowHeight="15" x14ac:dyDescent="0.25"/>
  <cols>
    <col min="1" max="1" width="14.140625" bestFit="1" customWidth="1"/>
    <col min="2" max="2" width="16.28515625" bestFit="1" customWidth="1"/>
    <col min="3" max="6" width="11.5703125" bestFit="1" customWidth="1"/>
    <col min="7" max="7" width="13.28515625" bestFit="1" customWidth="1"/>
    <col min="8" max="8" width="16.5703125" bestFit="1" customWidth="1"/>
    <col min="9" max="9" width="12.5703125" bestFit="1" customWidth="1"/>
    <col min="10" max="10" width="13.85546875" bestFit="1" customWidth="1"/>
    <col min="11" max="11" width="15.5703125" bestFit="1" customWidth="1"/>
    <col min="12" max="12" width="17.5703125" bestFit="1" customWidth="1"/>
    <col min="13" max="13" width="20.5703125" bestFit="1" customWidth="1"/>
  </cols>
  <sheetData>
    <row r="2" spans="8:10" x14ac:dyDescent="0.25">
      <c r="H2" t="s">
        <v>879</v>
      </c>
    </row>
    <row r="3" spans="8:10" x14ac:dyDescent="0.25">
      <c r="H3" s="2" t="s">
        <v>883</v>
      </c>
      <c r="I3" t="s">
        <v>878</v>
      </c>
      <c r="J3" t="s">
        <v>884</v>
      </c>
    </row>
    <row r="4" spans="8:10" x14ac:dyDescent="0.25">
      <c r="H4" s="3" t="s">
        <v>874</v>
      </c>
      <c r="I4" s="4">
        <v>7014.1237499999997</v>
      </c>
      <c r="J4" s="4">
        <v>56112.99</v>
      </c>
    </row>
    <row r="5" spans="8:10" x14ac:dyDescent="0.25">
      <c r="H5" s="3" t="s">
        <v>875</v>
      </c>
      <c r="I5" s="4">
        <v>7178.3855200000007</v>
      </c>
      <c r="J5" s="4">
        <v>897298.19000000006</v>
      </c>
    </row>
    <row r="6" spans="8:10" x14ac:dyDescent="0.25">
      <c r="H6" s="3" t="s">
        <v>876</v>
      </c>
      <c r="I6" s="4">
        <v>6130.6592805755408</v>
      </c>
      <c r="J6" s="4">
        <v>852161.64000000013</v>
      </c>
    </row>
    <row r="7" spans="8:10" x14ac:dyDescent="0.25">
      <c r="H7" s="3" t="s">
        <v>877</v>
      </c>
      <c r="I7" s="4">
        <v>6773.2983193277378</v>
      </c>
      <c r="J7" s="4">
        <v>1612045.0000000016</v>
      </c>
    </row>
    <row r="8" spans="8:10" x14ac:dyDescent="0.25">
      <c r="H8" s="3" t="s">
        <v>856</v>
      </c>
      <c r="I8" s="4">
        <v>6701.2114117647025</v>
      </c>
      <c r="J8" s="4">
        <v>3417617.8199999984</v>
      </c>
    </row>
    <row r="26" spans="1:7" x14ac:dyDescent="0.25">
      <c r="A26" s="2" t="s">
        <v>886</v>
      </c>
      <c r="B26" s="2" t="s">
        <v>885</v>
      </c>
    </row>
    <row r="27" spans="1:7" x14ac:dyDescent="0.25">
      <c r="A27" s="2" t="s">
        <v>3</v>
      </c>
      <c r="B27" t="s">
        <v>20</v>
      </c>
      <c r="C27" t="s">
        <v>36</v>
      </c>
      <c r="D27" t="s">
        <v>60</v>
      </c>
      <c r="E27" t="s">
        <v>14</v>
      </c>
      <c r="F27" t="s">
        <v>26</v>
      </c>
      <c r="G27" t="s">
        <v>856</v>
      </c>
    </row>
    <row r="28" spans="1:7" x14ac:dyDescent="0.25">
      <c r="A28" s="3" t="s">
        <v>35</v>
      </c>
      <c r="B28" s="4">
        <v>7.4999999999999997E-2</v>
      </c>
      <c r="C28" s="4">
        <v>6.1111111111111102E-2</v>
      </c>
      <c r="D28" s="4">
        <v>1.6666666666666666E-2</v>
      </c>
      <c r="E28" s="4">
        <v>6.9999999999999993E-2</v>
      </c>
      <c r="F28" s="4">
        <v>0.12083333333333333</v>
      </c>
      <c r="G28" s="4">
        <v>7.2222222222222229E-2</v>
      </c>
    </row>
    <row r="29" spans="1:7" x14ac:dyDescent="0.25">
      <c r="A29" s="3" t="s">
        <v>19</v>
      </c>
      <c r="B29" s="4">
        <v>3.2500000000000008E-2</v>
      </c>
      <c r="C29" s="4">
        <v>7.4999999999999997E-2</v>
      </c>
      <c r="D29" s="4">
        <v>5.6249999999999994E-2</v>
      </c>
      <c r="E29" s="4">
        <v>3.125E-2</v>
      </c>
      <c r="F29" s="4">
        <v>0.12454545454545456</v>
      </c>
      <c r="G29" s="4">
        <v>6.8723404255319143E-2</v>
      </c>
    </row>
    <row r="30" spans="1:7" x14ac:dyDescent="0.25">
      <c r="A30" s="3" t="s">
        <v>25</v>
      </c>
      <c r="B30" s="4">
        <v>0.11000000000000001</v>
      </c>
      <c r="C30" s="4">
        <v>0.16428571428571428</v>
      </c>
      <c r="D30" s="4">
        <v>9.3750000000000014E-2</v>
      </c>
      <c r="E30" s="4">
        <v>7.5000000000000011E-2</v>
      </c>
      <c r="F30" s="4">
        <v>7.4999999999999997E-2</v>
      </c>
      <c r="G30" s="4">
        <v>9.7959183673469383E-2</v>
      </c>
    </row>
    <row r="31" spans="1:7" x14ac:dyDescent="0.25">
      <c r="A31" s="3" t="s">
        <v>39</v>
      </c>
      <c r="B31" s="4">
        <v>1.8000000000000009E-2</v>
      </c>
      <c r="C31" s="4">
        <v>4.9999999999999996E-2</v>
      </c>
      <c r="D31" s="4">
        <v>8.2500000000000004E-2</v>
      </c>
      <c r="E31" s="4">
        <v>5.4166666666666675E-2</v>
      </c>
      <c r="F31" s="4">
        <v>7.6666666666666661E-2</v>
      </c>
      <c r="G31" s="4">
        <v>5.9285714285714289E-2</v>
      </c>
    </row>
    <row r="32" spans="1:7" x14ac:dyDescent="0.25">
      <c r="A32" s="3" t="s">
        <v>99</v>
      </c>
      <c r="B32" s="4">
        <v>0.05</v>
      </c>
      <c r="C32" s="4">
        <v>2.3750000000000004E-2</v>
      </c>
      <c r="D32" s="4">
        <v>0.11874999999999999</v>
      </c>
      <c r="E32" s="4">
        <v>5.4166666666666662E-2</v>
      </c>
      <c r="F32" s="4">
        <v>5.6249999999999994E-2</v>
      </c>
      <c r="G32" s="4">
        <v>6.0731707317073176E-2</v>
      </c>
    </row>
    <row r="33" spans="1:7" x14ac:dyDescent="0.25">
      <c r="A33" s="3" t="s">
        <v>31</v>
      </c>
      <c r="B33" s="4">
        <v>8.8333333333333333E-2</v>
      </c>
      <c r="C33" s="4">
        <v>6.2500000000000014E-2</v>
      </c>
      <c r="D33" s="4">
        <v>0.1111111111111111</v>
      </c>
      <c r="E33" s="4">
        <v>-8.3333333333333315E-3</v>
      </c>
      <c r="F33" s="4">
        <v>0.19666666666666668</v>
      </c>
      <c r="G33" s="4">
        <v>0.10199999999999999</v>
      </c>
    </row>
    <row r="34" spans="1:7" x14ac:dyDescent="0.25">
      <c r="A34" s="3" t="s">
        <v>50</v>
      </c>
      <c r="B34" s="4">
        <v>4.6666666666666676E-2</v>
      </c>
      <c r="C34" s="4">
        <v>0.108</v>
      </c>
      <c r="D34" s="4">
        <v>6.9230769230769235E-2</v>
      </c>
      <c r="E34" s="4">
        <v>9.4444444444444456E-2</v>
      </c>
      <c r="F34" s="4">
        <v>8.1250000000000003E-2</v>
      </c>
      <c r="G34" s="4">
        <v>7.8666666666666676E-2</v>
      </c>
    </row>
    <row r="35" spans="1:7" x14ac:dyDescent="0.25">
      <c r="A35" s="3" t="s">
        <v>76</v>
      </c>
      <c r="B35" s="4">
        <v>5.000000000000001E-2</v>
      </c>
      <c r="C35" s="4">
        <v>9.7857142857142879E-2</v>
      </c>
      <c r="D35" s="4">
        <v>7.2727272727272738E-2</v>
      </c>
      <c r="E35" s="4">
        <v>7.6153846153846155E-2</v>
      </c>
      <c r="F35" s="4">
        <v>7.6666666666666675E-2</v>
      </c>
      <c r="G35" s="4">
        <v>7.553846153846154E-2</v>
      </c>
    </row>
    <row r="36" spans="1:7" x14ac:dyDescent="0.25">
      <c r="A36" s="3" t="s">
        <v>67</v>
      </c>
      <c r="B36" s="4">
        <v>7.8571428571428584E-2</v>
      </c>
      <c r="C36" s="4">
        <v>3.125E-2</v>
      </c>
      <c r="D36" s="4">
        <v>8.7499999999999994E-2</v>
      </c>
      <c r="E36" s="4">
        <v>3.125E-2</v>
      </c>
      <c r="F36" s="4">
        <v>5.0909090909090911E-2</v>
      </c>
      <c r="G36" s="4">
        <v>5.1578947368421051E-2</v>
      </c>
    </row>
    <row r="37" spans="1:7" x14ac:dyDescent="0.25">
      <c r="A37" s="3" t="s">
        <v>53</v>
      </c>
      <c r="B37" s="4">
        <v>7.0000000000000007E-2</v>
      </c>
      <c r="C37" s="4">
        <v>2.3846153846153847E-2</v>
      </c>
      <c r="D37" s="4">
        <v>0.10000000000000002</v>
      </c>
      <c r="E37" s="4">
        <v>5.7142857142857148E-2</v>
      </c>
      <c r="F37" s="4">
        <v>2.8571428571428574E-2</v>
      </c>
      <c r="G37" s="4">
        <v>5.6122448979591816E-2</v>
      </c>
    </row>
    <row r="38" spans="1:7" x14ac:dyDescent="0.25">
      <c r="A38" s="3" t="s">
        <v>13</v>
      </c>
      <c r="B38" s="4">
        <v>3.3333333333333333E-2</v>
      </c>
      <c r="C38" s="4">
        <v>0.13000000000000003</v>
      </c>
      <c r="D38" s="4">
        <v>0.125</v>
      </c>
      <c r="E38" s="4">
        <v>0</v>
      </c>
      <c r="F38" s="4">
        <v>5.000000000000001E-2</v>
      </c>
      <c r="G38" s="4">
        <v>7.6666666666666675E-2</v>
      </c>
    </row>
    <row r="39" spans="1:7" x14ac:dyDescent="0.25">
      <c r="A39" s="3" t="s">
        <v>856</v>
      </c>
      <c r="B39" s="4">
        <v>5.9795918367346948E-2</v>
      </c>
      <c r="C39" s="4">
        <v>7.3545454545454539E-2</v>
      </c>
      <c r="D39" s="4">
        <v>8.0744680851063844E-2</v>
      </c>
      <c r="E39" s="4">
        <v>5.4888888888888876E-2</v>
      </c>
      <c r="F39" s="4">
        <v>9.059322033898308E-2</v>
      </c>
      <c r="G39" s="4">
        <v>7.2882352941176468E-2</v>
      </c>
    </row>
    <row r="46" spans="1:7" x14ac:dyDescent="0.25">
      <c r="A46" s="2" t="s">
        <v>884</v>
      </c>
      <c r="B46" s="2" t="s">
        <v>885</v>
      </c>
    </row>
    <row r="47" spans="1:7" x14ac:dyDescent="0.25">
      <c r="A47" s="2" t="s">
        <v>3</v>
      </c>
      <c r="B47" t="s">
        <v>20</v>
      </c>
      <c r="C47" t="s">
        <v>36</v>
      </c>
      <c r="D47" t="s">
        <v>60</v>
      </c>
      <c r="E47" t="s">
        <v>14</v>
      </c>
      <c r="F47" t="s">
        <v>26</v>
      </c>
      <c r="G47" t="s">
        <v>856</v>
      </c>
    </row>
    <row r="48" spans="1:7" x14ac:dyDescent="0.25">
      <c r="A48" s="3" t="s">
        <v>76</v>
      </c>
      <c r="B48" s="4">
        <v>85449.59</v>
      </c>
      <c r="C48" s="4">
        <v>139930.32</v>
      </c>
      <c r="D48" s="4">
        <v>53857.49</v>
      </c>
      <c r="E48" s="4">
        <v>121463.74999999999</v>
      </c>
      <c r="F48" s="4">
        <v>77490.239999999991</v>
      </c>
      <c r="G48" s="4">
        <v>478191.39</v>
      </c>
    </row>
    <row r="49" spans="1:7" x14ac:dyDescent="0.25">
      <c r="A49" s="3" t="s">
        <v>50</v>
      </c>
      <c r="B49" s="4">
        <v>148270.74</v>
      </c>
      <c r="C49" s="4">
        <v>103177.78</v>
      </c>
      <c r="D49" s="4">
        <v>124845.79999999997</v>
      </c>
      <c r="E49" s="4">
        <v>61232.079999999994</v>
      </c>
      <c r="F49" s="4">
        <v>19657.05</v>
      </c>
      <c r="G49" s="4">
        <v>457183.44999999995</v>
      </c>
    </row>
    <row r="50" spans="1:7" x14ac:dyDescent="0.25">
      <c r="A50" s="3" t="s">
        <v>25</v>
      </c>
      <c r="B50" s="4">
        <v>71028.989999999991</v>
      </c>
      <c r="C50" s="4">
        <v>16568.7</v>
      </c>
      <c r="D50" s="4">
        <v>88549.270000000019</v>
      </c>
      <c r="E50" s="4">
        <v>35057.389999999992</v>
      </c>
      <c r="F50" s="4">
        <v>151789.07999999999</v>
      </c>
      <c r="G50" s="4">
        <v>362993.43</v>
      </c>
    </row>
    <row r="51" spans="1:7" x14ac:dyDescent="0.25">
      <c r="A51" s="3" t="s">
        <v>39</v>
      </c>
      <c r="B51" s="4">
        <v>86918.48</v>
      </c>
      <c r="C51" s="4">
        <v>78979.38</v>
      </c>
      <c r="D51" s="4">
        <v>73181.210000000006</v>
      </c>
      <c r="E51" s="4">
        <v>69072.94</v>
      </c>
      <c r="F51" s="4">
        <v>32706.479999999992</v>
      </c>
      <c r="G51" s="4">
        <v>340858.49</v>
      </c>
    </row>
    <row r="52" spans="1:7" x14ac:dyDescent="0.25">
      <c r="A52" s="3" t="s">
        <v>35</v>
      </c>
      <c r="B52" s="4">
        <v>110212.4</v>
      </c>
      <c r="C52" s="4">
        <v>79613.989999999991</v>
      </c>
      <c r="D52" s="4">
        <v>76386.8</v>
      </c>
      <c r="E52" s="4">
        <v>7839.9699999999993</v>
      </c>
      <c r="F52" s="4">
        <v>59152.320000000007</v>
      </c>
      <c r="G52" s="4">
        <v>333205.48</v>
      </c>
    </row>
    <row r="53" spans="1:7" x14ac:dyDescent="0.25">
      <c r="A53" s="3" t="s">
        <v>99</v>
      </c>
      <c r="B53" s="4">
        <v>10627.810000000001</v>
      </c>
      <c r="C53" s="4">
        <v>40263.75</v>
      </c>
      <c r="D53" s="4">
        <v>40274.229999999996</v>
      </c>
      <c r="E53" s="4">
        <v>137359.15</v>
      </c>
      <c r="F53" s="4">
        <v>65191.08</v>
      </c>
      <c r="G53" s="4">
        <v>293716.02</v>
      </c>
    </row>
    <row r="54" spans="1:7" x14ac:dyDescent="0.25">
      <c r="A54" s="3" t="s">
        <v>31</v>
      </c>
      <c r="B54" s="4">
        <v>27162.969999999998</v>
      </c>
      <c r="C54" s="4">
        <v>31159.65</v>
      </c>
      <c r="D54" s="4">
        <v>52045.93</v>
      </c>
      <c r="E54" s="4">
        <v>33525.119999999995</v>
      </c>
      <c r="F54" s="4">
        <v>137385.09999999998</v>
      </c>
      <c r="G54" s="4">
        <v>281278.76999999996</v>
      </c>
    </row>
    <row r="55" spans="1:7" x14ac:dyDescent="0.25">
      <c r="A55" s="3" t="s">
        <v>19</v>
      </c>
      <c r="B55" s="4">
        <v>34813.61</v>
      </c>
      <c r="C55" s="4">
        <v>63303.299999999996</v>
      </c>
      <c r="D55" s="4">
        <v>66799.81</v>
      </c>
      <c r="E55" s="4">
        <v>61602.62</v>
      </c>
      <c r="F55" s="4">
        <v>53693.83</v>
      </c>
      <c r="G55" s="4">
        <v>280213.17</v>
      </c>
    </row>
    <row r="56" spans="1:7" x14ac:dyDescent="0.25">
      <c r="A56" s="3" t="s">
        <v>53</v>
      </c>
      <c r="B56" s="4">
        <v>54006.689999999995</v>
      </c>
      <c r="C56" s="4">
        <v>83565.53</v>
      </c>
      <c r="D56" s="4">
        <v>74930.929999999993</v>
      </c>
      <c r="E56" s="4">
        <v>12501.33</v>
      </c>
      <c r="F56" s="4">
        <v>33172</v>
      </c>
      <c r="G56" s="4">
        <v>258176.47999999998</v>
      </c>
    </row>
    <row r="57" spans="1:7" x14ac:dyDescent="0.25">
      <c r="A57" s="3" t="s">
        <v>67</v>
      </c>
      <c r="B57" s="4">
        <v>54056.840000000004</v>
      </c>
      <c r="C57" s="4">
        <v>66915.199999999997</v>
      </c>
      <c r="D57" s="4">
        <v>55368.380000000005</v>
      </c>
      <c r="E57" s="4">
        <v>24202.32</v>
      </c>
      <c r="F57" s="4">
        <v>46561.24</v>
      </c>
      <c r="G57" s="4">
        <v>247103.98</v>
      </c>
    </row>
    <row r="58" spans="1:7" x14ac:dyDescent="0.25">
      <c r="A58" s="3" t="s">
        <v>13</v>
      </c>
      <c r="B58" s="4">
        <v>30713.920000000002</v>
      </c>
      <c r="C58" s="4">
        <v>36960.629999999997</v>
      </c>
      <c r="D58" s="4">
        <v>2945.23</v>
      </c>
      <c r="E58" s="4">
        <v>5604.31</v>
      </c>
      <c r="F58" s="4">
        <v>8473.07</v>
      </c>
      <c r="G58" s="4">
        <v>84697.16</v>
      </c>
    </row>
    <row r="59" spans="1:7" x14ac:dyDescent="0.25">
      <c r="A59" s="3" t="s">
        <v>856</v>
      </c>
      <c r="B59" s="4">
        <v>713262.03999999992</v>
      </c>
      <c r="C59" s="4">
        <v>740438.2300000001</v>
      </c>
      <c r="D59" s="4">
        <v>709185.08000000007</v>
      </c>
      <c r="E59" s="4">
        <v>569460.97999999986</v>
      </c>
      <c r="F59" s="4">
        <v>685271.48999999987</v>
      </c>
      <c r="G59" s="4">
        <v>3417617.82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9A726-EDD9-4EB7-B9E0-FCE4CF4DCF76}">
  <sheetPr>
    <pageSetUpPr fitToPage="1"/>
  </sheetPr>
  <dimension ref="A2:Q10"/>
  <sheetViews>
    <sheetView workbookViewId="0">
      <selection activeCell="R14" sqref="M14:R14"/>
    </sheetView>
  </sheetViews>
  <sheetFormatPr defaultRowHeight="15" x14ac:dyDescent="0.25"/>
  <cols>
    <col min="1" max="16384" width="9.140625" style="6"/>
  </cols>
  <sheetData>
    <row r="2" spans="1:17" ht="28.5" x14ac:dyDescent="0.45">
      <c r="F2" s="7" t="s">
        <v>1361</v>
      </c>
      <c r="G2" s="7"/>
      <c r="H2" s="7"/>
      <c r="I2" s="8"/>
      <c r="J2" s="8"/>
    </row>
    <row r="4" spans="1:17" ht="15.75" thickBot="1" x14ac:dyDescent="0.3"/>
    <row r="5" spans="1:17" x14ac:dyDescent="0.25">
      <c r="A5" s="18" t="s">
        <v>1354</v>
      </c>
      <c r="B5" s="19"/>
      <c r="D5" s="18" t="s">
        <v>1356</v>
      </c>
      <c r="E5" s="19"/>
      <c r="G5" s="18" t="s">
        <v>1359</v>
      </c>
      <c r="H5" s="19"/>
      <c r="J5" s="18" t="s">
        <v>1357</v>
      </c>
      <c r="K5" s="19"/>
      <c r="M5" s="18" t="s">
        <v>1360</v>
      </c>
      <c r="N5" s="19"/>
      <c r="P5" s="18" t="s">
        <v>1358</v>
      </c>
      <c r="Q5" s="19"/>
    </row>
    <row r="6" spans="1:17" x14ac:dyDescent="0.25">
      <c r="A6" s="24" t="s">
        <v>1355</v>
      </c>
      <c r="B6" s="25"/>
      <c r="D6" s="24">
        <f>COUNTA(Tech_Sales_Data[Order_ID])</f>
        <v>510</v>
      </c>
      <c r="E6" s="25"/>
      <c r="G6" s="28">
        <f>AVERAGE(Tech_Sales_Data[Revenue])</f>
        <v>6701.2114117647006</v>
      </c>
      <c r="H6" s="29"/>
      <c r="J6" s="14">
        <f>AVERAGE(Tech_Sales_Data[Discount_%])</f>
        <v>7.2882352941176468E-2</v>
      </c>
      <c r="K6" s="15"/>
      <c r="M6" s="20" t="s">
        <v>76</v>
      </c>
      <c r="N6" s="21"/>
      <c r="P6" s="24" t="s">
        <v>36</v>
      </c>
      <c r="Q6" s="25"/>
    </row>
    <row r="7" spans="1:17" ht="15.75" thickBot="1" x14ac:dyDescent="0.3">
      <c r="A7" s="26"/>
      <c r="B7" s="27"/>
      <c r="D7" s="26"/>
      <c r="E7" s="27"/>
      <c r="G7" s="30"/>
      <c r="H7" s="31"/>
      <c r="J7" s="16"/>
      <c r="K7" s="17"/>
      <c r="M7" s="22"/>
      <c r="N7" s="23"/>
      <c r="P7" s="26"/>
      <c r="Q7" s="27"/>
    </row>
    <row r="8" spans="1:17" ht="23.25" x14ac:dyDescent="0.35">
      <c r="A8" s="9"/>
      <c r="B8" s="9"/>
      <c r="D8" s="9"/>
      <c r="E8" s="9"/>
      <c r="G8" s="10"/>
      <c r="H8" s="10"/>
      <c r="J8" s="11"/>
      <c r="K8" s="11"/>
      <c r="M8" s="12"/>
      <c r="N8" s="12"/>
      <c r="P8" s="9"/>
      <c r="Q8" s="9"/>
    </row>
    <row r="9" spans="1:17" ht="23.25" x14ac:dyDescent="0.35">
      <c r="A9" s="9"/>
      <c r="B9" s="9"/>
      <c r="D9" s="9"/>
      <c r="E9" s="9"/>
      <c r="G9" s="10"/>
      <c r="H9" s="10"/>
      <c r="J9" s="11"/>
      <c r="K9" s="11"/>
      <c r="M9" s="12"/>
      <c r="N9" s="12"/>
      <c r="P9" s="9"/>
      <c r="Q9" s="9"/>
    </row>
    <row r="10" spans="1:17" ht="23.25" x14ac:dyDescent="0.35">
      <c r="A10" s="9"/>
      <c r="B10" s="9"/>
      <c r="D10" s="9"/>
      <c r="E10" s="9"/>
      <c r="G10" s="10"/>
      <c r="H10" s="10"/>
      <c r="J10" s="11"/>
      <c r="K10" s="11"/>
      <c r="M10" s="12"/>
      <c r="N10" s="12"/>
      <c r="P10" s="9"/>
      <c r="Q10" s="9"/>
    </row>
  </sheetData>
  <mergeCells count="12">
    <mergeCell ref="A5:B5"/>
    <mergeCell ref="A6:B7"/>
    <mergeCell ref="D5:E5"/>
    <mergeCell ref="D6:E7"/>
    <mergeCell ref="G5:H5"/>
    <mergeCell ref="G6:H7"/>
    <mergeCell ref="J6:K7"/>
    <mergeCell ref="M5:N5"/>
    <mergeCell ref="M6:N7"/>
    <mergeCell ref="P5:Q5"/>
    <mergeCell ref="P6:Q7"/>
    <mergeCell ref="J5:K5"/>
  </mergeCells>
  <pageMargins left="0.70866141732283472" right="0.70866141732283472" top="0.74803149606299213" bottom="0.74803149606299213" header="0.31496062992125984" footer="0.31496062992125984"/>
  <pageSetup scale="78"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26F68A-C7AB-4ED5-81FE-984CF1CE43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Messy_dataset</vt:lpstr>
      <vt:lpstr>Cleaning_process</vt:lpstr>
      <vt:lpstr>Cleaned_SalesData</vt:lpstr>
      <vt:lpstr>Pivots</vt:lpstr>
      <vt:lpstr>Pivots2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HomePC</cp:lastModifiedBy>
  <cp:lastPrinted>2026-04-20T12:55:48Z</cp:lastPrinted>
  <dcterms:created xsi:type="dcterms:W3CDTF">2026-04-15T03:45:36Z</dcterms:created>
  <dcterms:modified xsi:type="dcterms:W3CDTF">2026-04-22T12:50:00Z</dcterms:modified>
</cp:coreProperties>
</file>